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cha\Documents\Github Projects\Completed Porject\"/>
    </mc:Choice>
  </mc:AlternateContent>
  <xr:revisionPtr revIDLastSave="0" documentId="13_ncr:1_{1F423B3D-4A3A-4328-8656-E32048877DA6}" xr6:coauthVersionLast="47" xr6:coauthVersionMax="47" xr10:uidLastSave="{00000000-0000-0000-0000-000000000000}"/>
  <bookViews>
    <workbookView xWindow="-120" yWindow="-120" windowWidth="29040" windowHeight="15720" tabRatio="500" activeTab="3" xr2:uid="{00000000-000D-0000-FFFF-FFFF00000000}"/>
  </bookViews>
  <sheets>
    <sheet name="README" sheetId="1" r:id="rId1"/>
    <sheet name="HR Roster" sheetId="2" r:id="rId2"/>
    <sheet name="Access List" sheetId="3" r:id="rId3"/>
    <sheet name="Findings Log" sheetId="4" r:id="rId4"/>
    <sheet name="Summary" sheetId="5" r:id="rId5"/>
  </sheets>
  <definedNames>
    <definedName name="_xlnm._FilterDatabase" localSheetId="2" hidden="1">'Access List'!$A$1:$N$36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0" i="5" l="1"/>
  <c r="D20" i="5"/>
  <c r="C20" i="5"/>
  <c r="B20" i="5"/>
  <c r="E19" i="5"/>
  <c r="D19" i="5"/>
  <c r="C19" i="5"/>
  <c r="B19" i="5"/>
  <c r="E18" i="5"/>
  <c r="D18" i="5"/>
  <c r="C18" i="5"/>
  <c r="B18" i="5"/>
  <c r="E17" i="5"/>
  <c r="D17" i="5"/>
  <c r="C17" i="5"/>
  <c r="B17" i="5"/>
  <c r="E16" i="5"/>
  <c r="D16" i="5"/>
  <c r="C16" i="5"/>
  <c r="B16" i="5"/>
  <c r="E15" i="5"/>
  <c r="D15" i="5"/>
  <c r="C15" i="5"/>
  <c r="B15" i="5"/>
  <c r="E14" i="5"/>
  <c r="D14" i="5"/>
  <c r="C14" i="5"/>
  <c r="B14" i="5"/>
  <c r="E13" i="5"/>
  <c r="D13" i="5"/>
  <c r="C13" i="5"/>
  <c r="B13" i="5"/>
  <c r="B8" i="5"/>
  <c r="B6" i="5"/>
  <c r="B5" i="5"/>
  <c r="B4" i="5"/>
  <c r="L36" i="3"/>
  <c r="E36" i="3"/>
  <c r="D36" i="3"/>
  <c r="C36" i="3"/>
  <c r="L35" i="3"/>
  <c r="E35" i="3"/>
  <c r="D35" i="3"/>
  <c r="C35" i="3"/>
  <c r="L34" i="3"/>
  <c r="E34" i="3"/>
  <c r="D34" i="3"/>
  <c r="C34" i="3"/>
  <c r="L33" i="3"/>
  <c r="E33" i="3"/>
  <c r="D33" i="3"/>
  <c r="C33" i="3"/>
  <c r="L32" i="3"/>
  <c r="E32" i="3"/>
  <c r="D32" i="3"/>
  <c r="C32" i="3"/>
  <c r="L31" i="3"/>
  <c r="E31" i="3"/>
  <c r="D31" i="3"/>
  <c r="C31" i="3"/>
  <c r="L30" i="3"/>
  <c r="E30" i="3"/>
  <c r="D30" i="3"/>
  <c r="C30" i="3"/>
  <c r="L29" i="3"/>
  <c r="E29" i="3"/>
  <c r="D29" i="3"/>
  <c r="C29" i="3"/>
  <c r="L28" i="3"/>
  <c r="E28" i="3"/>
  <c r="D28" i="3"/>
  <c r="C28" i="3"/>
  <c r="L27" i="3"/>
  <c r="E27" i="3"/>
  <c r="D27" i="3"/>
  <c r="C27" i="3"/>
  <c r="L26" i="3"/>
  <c r="E26" i="3"/>
  <c r="D26" i="3"/>
  <c r="C26" i="3"/>
  <c r="L25" i="3"/>
  <c r="E25" i="3"/>
  <c r="D25" i="3"/>
  <c r="C25" i="3"/>
  <c r="L24" i="3"/>
  <c r="E24" i="3"/>
  <c r="D24" i="3"/>
  <c r="C24" i="3"/>
  <c r="L23" i="3"/>
  <c r="E23" i="3"/>
  <c r="D23" i="3"/>
  <c r="C23" i="3"/>
  <c r="L22" i="3"/>
  <c r="E22" i="3"/>
  <c r="D22" i="3"/>
  <c r="C22" i="3"/>
  <c r="L21" i="3"/>
  <c r="E21" i="3"/>
  <c r="D21" i="3"/>
  <c r="C21" i="3"/>
  <c r="L20" i="3"/>
  <c r="E20" i="3"/>
  <c r="D20" i="3"/>
  <c r="C20" i="3"/>
  <c r="L19" i="3"/>
  <c r="E19" i="3"/>
  <c r="D19" i="3"/>
  <c r="C19" i="3"/>
  <c r="L18" i="3"/>
  <c r="E18" i="3"/>
  <c r="D18" i="3"/>
  <c r="C18" i="3"/>
  <c r="L17" i="3"/>
  <c r="E17" i="3"/>
  <c r="D17" i="3"/>
  <c r="C17" i="3"/>
  <c r="L16" i="3"/>
  <c r="E16" i="3"/>
  <c r="D16" i="3"/>
  <c r="C16" i="3"/>
  <c r="L15" i="3"/>
  <c r="E15" i="3"/>
  <c r="D15" i="3"/>
  <c r="C15" i="3"/>
  <c r="L14" i="3"/>
  <c r="E14" i="3"/>
  <c r="D14" i="3"/>
  <c r="C14" i="3"/>
  <c r="L13" i="3"/>
  <c r="E13" i="3"/>
  <c r="D13" i="3"/>
  <c r="C13" i="3"/>
  <c r="L12" i="3"/>
  <c r="E12" i="3"/>
  <c r="D12" i="3"/>
  <c r="C12" i="3"/>
  <c r="L11" i="3"/>
  <c r="E11" i="3"/>
  <c r="D11" i="3"/>
  <c r="C11" i="3"/>
  <c r="L10" i="3"/>
  <c r="E10" i="3"/>
  <c r="D10" i="3"/>
  <c r="C10" i="3"/>
  <c r="L9" i="3"/>
  <c r="E9" i="3"/>
  <c r="D9" i="3"/>
  <c r="C9" i="3"/>
  <c r="L8" i="3"/>
  <c r="E8" i="3"/>
  <c r="D8" i="3"/>
  <c r="C8" i="3"/>
  <c r="L7" i="3"/>
  <c r="E7" i="3"/>
  <c r="D7" i="3"/>
  <c r="C7" i="3"/>
  <c r="L6" i="3"/>
  <c r="E6" i="3"/>
  <c r="D6" i="3"/>
  <c r="C6" i="3"/>
  <c r="L5" i="3"/>
  <c r="E5" i="3"/>
  <c r="D5" i="3"/>
  <c r="C5" i="3"/>
  <c r="L4" i="3"/>
  <c r="E4" i="3"/>
  <c r="D4" i="3"/>
  <c r="C4" i="3"/>
  <c r="L3" i="3"/>
  <c r="E3" i="3"/>
  <c r="D3" i="3"/>
  <c r="C3" i="3"/>
  <c r="L2" i="3"/>
  <c r="E2" i="3"/>
  <c r="D2" i="3"/>
  <c r="C2" i="3"/>
  <c r="B7" i="5" l="1"/>
  <c r="B9" i="5" l="1"/>
  <c r="C5" i="5"/>
  <c r="C6" i="5"/>
  <c r="C4" i="5"/>
</calcChain>
</file>

<file path=xl/sharedStrings.xml><?xml version="1.0" encoding="utf-8"?>
<sst xmlns="http://schemas.openxmlformats.org/spreadsheetml/2006/main" count="522" uniqueCount="242">
  <si>
    <t>Mock Quarterly Access Review (Practice Lab - ALL DATA IS FICTIONAL)</t>
  </si>
  <si>
    <t>Scenario</t>
  </si>
  <si>
    <t>You are the IAM analyst running the Q4 user access review for a fictional company. Compare the Access List (who has access to what) against the HR Roster (who actually works here and in what role), then decide whether each access should stay, go, or needs a justification.</t>
  </si>
  <si>
    <t>Review date</t>
  </si>
  <si>
    <t>Your steps</t>
  </si>
  <si>
    <t>1) Read the HR Roster.  2) Go through every row of the Access List.  3) Pick a Decision in the yellow column (dropdown).  4) Write a short Reviewer Comment explaining why.  5) Copy your issues into the Findings Log.  6) Check the Summary sheet.</t>
  </si>
  <si>
    <t>Decision options</t>
  </si>
  <si>
    <t>Keep = access matches the person's current job and status.   Remove = access should be revoked.   Needs Justification = you can't tell; the owner must explain or approve.</t>
  </si>
  <si>
    <t>What to look for</t>
  </si>
  <si>
    <t>Think about: people who left or changed jobs, access that is too powerful for the role, two permissions that should not be held by one person, accounts with no clear owner, access nobody is using, and access approved by the wrong person.</t>
  </si>
  <si>
    <t>Cells you edit</t>
  </si>
  <si>
    <t>Yellow cells only: Review date (below), Decision and Reviewer Comment on the Access List, and the Findings Log rows. Grey cells are formulas that pull data for you - do not type over them.</t>
  </si>
  <si>
    <t>Example (not real data)</t>
  </si>
  <si>
    <t>Example comment: 'HR shows this person moved to Marketing on 2026-08-15, but they still hold the Finance approver role. Remove; confirm with the Finance manager.' Example decision: Remove.</t>
  </si>
  <si>
    <t>Safety</t>
  </si>
  <si>
    <t>Everything here is made up. Do not add real employee names, real systems from your job, or anything from NIH or any employer.</t>
  </si>
  <si>
    <t>Employee ID</t>
  </si>
  <si>
    <t>Name</t>
  </si>
  <si>
    <t>Department</t>
  </si>
  <si>
    <t>Job Title</t>
  </si>
  <si>
    <t>Manager</t>
  </si>
  <si>
    <t>HR Status</t>
  </si>
  <si>
    <t>Status / Move Date</t>
  </si>
  <si>
    <t>HR Note</t>
  </si>
  <si>
    <t>E001</t>
  </si>
  <si>
    <t>Dana Whitfield</t>
  </si>
  <si>
    <t>Finance</t>
  </si>
  <si>
    <t>Finance Manager</t>
  </si>
  <si>
    <t>Rhonda Diaz</t>
  </si>
  <si>
    <t>Active</t>
  </si>
  <si>
    <t>E002</t>
  </si>
  <si>
    <t>Marcus Lee</t>
  </si>
  <si>
    <t>AP Analyst</t>
  </si>
  <si>
    <t>E003</t>
  </si>
  <si>
    <t>Priya Nair</t>
  </si>
  <si>
    <t>Accounts Payable Lead</t>
  </si>
  <si>
    <t>E004</t>
  </si>
  <si>
    <t>Tom Becker</t>
  </si>
  <si>
    <t>IT</t>
  </si>
  <si>
    <t>Systems Administrator</t>
  </si>
  <si>
    <t>Sam Ortiz</t>
  </si>
  <si>
    <t>E005</t>
  </si>
  <si>
    <t>IT Manager</t>
  </si>
  <si>
    <t>E006</t>
  </si>
  <si>
    <t>Elena Ruiz</t>
  </si>
  <si>
    <t>Marketing</t>
  </si>
  <si>
    <t>Marketing Specialist</t>
  </si>
  <si>
    <t>Chris Hale</t>
  </si>
  <si>
    <t>Transferred from Finance to Marketing</t>
  </si>
  <si>
    <t>E007</t>
  </si>
  <si>
    <t>Marketing Director</t>
  </si>
  <si>
    <t>E008</t>
  </si>
  <si>
    <t>Jordan Price</t>
  </si>
  <si>
    <t>Sales</t>
  </si>
  <si>
    <t>Sales Representative</t>
  </si>
  <si>
    <t>Maya Chen</t>
  </si>
  <si>
    <t>Terminated</t>
  </si>
  <si>
    <t>Employment ended</t>
  </si>
  <si>
    <t>E009</t>
  </si>
  <si>
    <t>Sales Manager</t>
  </si>
  <si>
    <t>E010</t>
  </si>
  <si>
    <t>Alex Kim</t>
  </si>
  <si>
    <t>Summer Intern</t>
  </si>
  <si>
    <t>Intern, started June 2026</t>
  </si>
  <si>
    <t>E011</t>
  </si>
  <si>
    <t>Rosa Alvarez</t>
  </si>
  <si>
    <t>HR</t>
  </si>
  <si>
    <t>HR Generalist</t>
  </si>
  <si>
    <t>Ken Doyle</t>
  </si>
  <si>
    <t>E012</t>
  </si>
  <si>
    <t>HR Director</t>
  </si>
  <si>
    <t>E013</t>
  </si>
  <si>
    <t>Victor Shaw</t>
  </si>
  <si>
    <t>Operations</t>
  </si>
  <si>
    <t>Operations Analyst</t>
  </si>
  <si>
    <t>Lena Park</t>
  </si>
  <si>
    <t>E014</t>
  </si>
  <si>
    <t>Operations Manager</t>
  </si>
  <si>
    <t>E015</t>
  </si>
  <si>
    <t>Nina Patel</t>
  </si>
  <si>
    <t>Account Executive</t>
  </si>
  <si>
    <t>On Leave</t>
  </si>
  <si>
    <t>Leave began 2026-09-01, expected return 2027-01</t>
  </si>
  <si>
    <t>E016</t>
  </si>
  <si>
    <t>Owen Brooks</t>
  </si>
  <si>
    <t>Contractor (AP support)</t>
  </si>
  <si>
    <t>Contract Ended</t>
  </si>
  <si>
    <t>Contract ended</t>
  </si>
  <si>
    <t>Access ID</t>
  </si>
  <si>
    <t>Employee Name (HR)</t>
  </si>
  <si>
    <t>Department (HR)</t>
  </si>
  <si>
    <t>HR Status (HR)</t>
  </si>
  <si>
    <t>System</t>
  </si>
  <si>
    <t>Role / Entitlement</t>
  </si>
  <si>
    <t>Privilege Level</t>
  </si>
  <si>
    <t>Granted Date</t>
  </si>
  <si>
    <t>Approved By</t>
  </si>
  <si>
    <t>Last Login</t>
  </si>
  <si>
    <t>Days Since Last Login</t>
  </si>
  <si>
    <t>Decision</t>
  </si>
  <si>
    <t>Reviewer Comment</t>
  </si>
  <si>
    <t>A001</t>
  </si>
  <si>
    <t>Okta</t>
  </si>
  <si>
    <t>User</t>
  </si>
  <si>
    <t>Standard</t>
  </si>
  <si>
    <t>A002</t>
  </si>
  <si>
    <t>Payment System</t>
  </si>
  <si>
    <t>Payment Approver</t>
  </si>
  <si>
    <t>Privileged</t>
  </si>
  <si>
    <t>A003</t>
  </si>
  <si>
    <t>A004</t>
  </si>
  <si>
    <t>Invoice Entry</t>
  </si>
  <si>
    <t>A005</t>
  </si>
  <si>
    <t>A006</t>
  </si>
  <si>
    <t>Create Vendor</t>
  </si>
  <si>
    <t>A007</t>
  </si>
  <si>
    <t>Approve Payment</t>
  </si>
  <si>
    <t>A008</t>
  </si>
  <si>
    <t>Super Admin</t>
  </si>
  <si>
    <t>A009</t>
  </si>
  <si>
    <t>AWS Console</t>
  </si>
  <si>
    <t>Administrator</t>
  </si>
  <si>
    <t>A010</t>
  </si>
  <si>
    <t>A011</t>
  </si>
  <si>
    <t>A012</t>
  </si>
  <si>
    <t>A013</t>
  </si>
  <si>
    <t>Finance Share</t>
  </si>
  <si>
    <t>Read/Write</t>
  </si>
  <si>
    <t>A014</t>
  </si>
  <si>
    <t>A015</t>
  </si>
  <si>
    <t>A016</t>
  </si>
  <si>
    <t>Microsoft 365</t>
  </si>
  <si>
    <t>Mailbox and Teams</t>
  </si>
  <si>
    <t>A017</t>
  </si>
  <si>
    <t>Salesforce CRM</t>
  </si>
  <si>
    <t>Sales Rep</t>
  </si>
  <si>
    <t>A018</t>
  </si>
  <si>
    <t>A019</t>
  </si>
  <si>
    <t>A020</t>
  </si>
  <si>
    <t>A021</t>
  </si>
  <si>
    <t>A022</t>
  </si>
  <si>
    <t>A023</t>
  </si>
  <si>
    <t>Workday</t>
  </si>
  <si>
    <t>HR Partner</t>
  </si>
  <si>
    <t>A024</t>
  </si>
  <si>
    <t>A025</t>
  </si>
  <si>
    <t>HR Administrator</t>
  </si>
  <si>
    <t>A026</t>
  </si>
  <si>
    <t>A027</t>
  </si>
  <si>
    <t>ServiceNow</t>
  </si>
  <si>
    <t>Admin</t>
  </si>
  <si>
    <t>A028</t>
  </si>
  <si>
    <t>A029</t>
  </si>
  <si>
    <t>Approver</t>
  </si>
  <si>
    <t>A030</t>
  </si>
  <si>
    <t>A031</t>
  </si>
  <si>
    <t>A032</t>
  </si>
  <si>
    <t>A033</t>
  </si>
  <si>
    <t>A034</t>
  </si>
  <si>
    <t>A035</t>
  </si>
  <si>
    <t>SVC-01</t>
  </si>
  <si>
    <t>Administrator (shared account svc_admin_shared)</t>
  </si>
  <si>
    <t>Finding #</t>
  </si>
  <si>
    <t>Access ID(s)</t>
  </si>
  <si>
    <t>Person / Account</t>
  </si>
  <si>
    <t>What is wrong</t>
  </si>
  <si>
    <t>Risk (High/Med/Low)</t>
  </si>
  <si>
    <t>Recommended action</t>
  </si>
  <si>
    <t>Owner to contact</t>
  </si>
  <si>
    <t>Status</t>
  </si>
  <si>
    <t>EXAMPLE</t>
  </si>
  <si>
    <t>A000</t>
  </si>
  <si>
    <t>Example Person (not in data)</t>
  </si>
  <si>
    <t>Moved departments but kept the old department's approver role</t>
  </si>
  <si>
    <t>High</t>
  </si>
  <si>
    <t>Remove the old role; confirm with the former manager</t>
  </si>
  <si>
    <t>Former department manager</t>
  </si>
  <si>
    <t>Open</t>
  </si>
  <si>
    <t>Review Summary (updates automatically as you fill in Decisions)</t>
  </si>
  <si>
    <t>Count</t>
  </si>
  <si>
    <t>% of reviewed</t>
  </si>
  <si>
    <t>Keep</t>
  </si>
  <si>
    <t>Remove</t>
  </si>
  <si>
    <t>Needs Justification</t>
  </si>
  <si>
    <t>Total reviewed</t>
  </si>
  <si>
    <t>Total access rows</t>
  </si>
  <si>
    <t>Still to review</t>
  </si>
  <si>
    <t>Decisions by system</t>
  </si>
  <si>
    <t>Privileged rows</t>
  </si>
  <si>
    <t>Note: 'Privileged rows' counts all privileged entitlements per system regardless of your decision.</t>
  </si>
  <si>
    <t>Access matches current role and job responsibilities. Approved by manager.</t>
  </si>
  <si>
    <t>User transferred departments on 08/15/2026; access from prior role no longer needed.</t>
  </si>
  <si>
    <t>Access exceeds role requirements (least privilege); intern should not hold administrator rights.</t>
  </si>
  <si>
    <t>Approver is the same person as the access holder. Independent approval required.</t>
  </si>
  <si>
    <t>Contract ended 09/30/2026 access no longer required.</t>
  </si>
  <si>
    <t>A015, A016, A017</t>
  </si>
  <si>
    <t>Jordan Price (E008)</t>
  </si>
  <si>
    <t>Terminated on 07/31/2026 but Okta, M365, and Salesforce access remain active. Okta shows login on 10/05/2026</t>
  </si>
  <si>
    <t>Disable all accounts now and notify security to review the post termination login</t>
  </si>
  <si>
    <t>Maya Chen (Former Manager)</t>
  </si>
  <si>
    <t>Unable to confirm business need; requesting justification from manager by 10/25/2026</t>
  </si>
  <si>
    <t>Terminated 07/31/2026 per HR; Okta login on 10/05/2026 is after termination. Disable and refer to Security.</t>
  </si>
  <si>
    <t>Employee terminated 07/31/2026 per HR; access should have been removed within 1 business day.</t>
  </si>
  <si>
    <t>it’s a shared privileged account, so no one person is accountable for it.</t>
  </si>
  <si>
    <t>A012, A013</t>
  </si>
  <si>
    <t>A006, A007</t>
  </si>
  <si>
    <t>Priya Nair (E003)</t>
  </si>
  <si>
    <t>Holds both Create Vendor and Approve Payment in the Payment System, both privileged. One person can create a vendor and approve payment to it, which violates the segregation of duties rule</t>
  </si>
  <si>
    <t>Remove one of the two entitlements, or require documented justification and a compensating control from the manager</t>
  </si>
  <si>
    <t>Alex Kim (E010)</t>
  </si>
  <si>
    <t>Summer Intern holds AWS Console Administrator (privileged). Policy rule 8 says interns get no administrator access. The access was approved by Tom Becker, a peer, and not by Alex’s manager (Sam Ortiz).</t>
  </si>
  <si>
    <t>Remove administrator access and replace it with the minimum access needed for the internship</t>
  </si>
  <si>
    <t>Ken Doyle (E012)</t>
  </si>
  <si>
    <t>Workday HR Administrator (privileged) was approved by Ken Doyle himself. Policy rule 4 says no one may approve their own access.</t>
  </si>
  <si>
    <t>Get independent approval from his manager; remove the access if it isn’t given</t>
  </si>
  <si>
    <t>Rhonda Diaz (Ken’s manager)</t>
  </si>
  <si>
    <t>Victor Shaw (E013)</t>
  </si>
  <si>
    <t>ServiceNow Admin (privileged) last used 02/10/2026, 250 days before the review date. Policy rule 5 says privileged access unused for 90 days or more should be removed.</t>
  </si>
  <si>
    <t>Remove the admin role; Victor keeps his standard Okta access</t>
  </si>
  <si>
    <t>Lena Park (approver and manager)</t>
  </si>
  <si>
    <t>svc_admin_shared (SVC-01)</t>
  </si>
  <si>
    <t>Shared AWS Console Administrator (privileged) account has no named owner or approver and doesn’t appear in the HR Roster. Policy rule 6 requires a named owner and approver, and with no owner nobody is accountable for its actions.</t>
  </si>
  <si>
    <t>Assign an owner, document the business need, rotate the credentials, and replace the shared account with named accounts if possible</t>
  </si>
  <si>
    <t>Sam Ortiz (IT Manager) to assign an owner</t>
  </si>
  <si>
    <t>A030, A031</t>
  </si>
  <si>
    <t>Nina Patel (E015)</t>
  </si>
  <si>
    <t>On approved leave since 09/01/2026, expected back 01/2027. Her access is standard only. Policy rule 9 lets standard access stay during leave, and nothing indicates misuse.</t>
  </si>
  <si>
    <t>No removal needed; confirm access is re-reviewed before her return</t>
  </si>
  <si>
    <t>Maya Chen (manager)</t>
  </si>
  <si>
    <t>Elena Ruiz (E006)</t>
  </si>
  <si>
    <t>Sam Ortiz (Alex’s manager)</t>
  </si>
  <si>
    <t>Remove both entitlements and review payments she approved after 08/15/2026</t>
  </si>
  <si>
    <t>Low</t>
  </si>
  <si>
    <t>Medium</t>
  </si>
  <si>
    <t>A032, A033, A034</t>
  </si>
  <si>
    <t>Owen Brooks (E016)</t>
  </si>
  <si>
    <t>Contract ended 09/30/2026 per HR but Okta, Finance Share, and Invoice Entry are still active. Policy rule 2 requires removal within 1 business day.</t>
  </si>
  <si>
    <t>Disable all three accounts</t>
  </si>
  <si>
    <t>Privileged access justified by role (Systems Administrator); approver is independent.</t>
  </si>
  <si>
    <t>Admin last used 02/10/2026 (250 days). Privileged access unused 90+ days; removed per policy rule 5.</t>
  </si>
  <si>
    <t>On approved leave since 09/01/2026. Standard access may remain per policy; re-review before return.</t>
  </si>
  <si>
    <t>Transferred from Finance to Marketing on 08/15/2026 but still holds Payment Approver (privileged) and Finance Share read/write. Payment Approver was last used 09/02/2026, after the transfer. Policy rule 3 requires old-role access to be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</si>
</sst>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charset val="1"/>
    </font>
    <font>
      <b/>
      <sz val="14"/>
      <name val="Arial"/>
      <charset val="1"/>
    </font>
    <font>
      <b/>
      <sz val="10"/>
      <name val="Arial"/>
      <charset val="1"/>
    </font>
    <font>
      <sz val="10"/>
      <name val="Arial"/>
      <charset val="1"/>
    </font>
    <font>
      <sz val="10"/>
      <color rgb="FF0000FF"/>
      <name val="Arial"/>
      <charset val="1"/>
    </font>
    <font>
      <b/>
      <sz val="10"/>
      <color rgb="FFFFFFFF"/>
      <name val="Arial"/>
      <charset val="1"/>
    </font>
    <font>
      <i/>
      <sz val="10"/>
      <color rgb="FF7F7F7F"/>
      <name val="Arial"/>
      <charset val="1"/>
    </font>
    <font>
      <b/>
      <sz val="12"/>
      <name val="Arial"/>
      <charset val="1"/>
    </font>
    <font>
      <i/>
      <sz val="9"/>
      <name val="Arial"/>
      <charset val="1"/>
    </font>
  </fonts>
  <fills count="5">
    <fill>
      <patternFill patternType="none"/>
    </fill>
    <fill>
      <patternFill patternType="gray125"/>
    </fill>
    <fill>
      <patternFill patternType="solid">
        <fgColor rgb="FFFFFF99"/>
        <bgColor rgb="FFF2F2F2"/>
      </patternFill>
    </fill>
    <fill>
      <patternFill patternType="solid">
        <fgColor rgb="FF1F3864"/>
        <bgColor rgb="FF333333"/>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164" fontId="4" fillId="2" borderId="1" xfId="0" applyNumberFormat="1" applyFont="1" applyFill="1" applyBorder="1" applyAlignment="1">
      <alignment horizontal="left"/>
    </xf>
    <xf numFmtId="0" fontId="5" fillId="3" borderId="1" xfId="0" applyFont="1" applyFill="1" applyBorder="1" applyAlignment="1">
      <alignment horizontal="center" vertical="center" wrapText="1"/>
    </xf>
    <xf numFmtId="0" fontId="3" fillId="0" borderId="1" xfId="0" applyFont="1" applyBorder="1"/>
    <xf numFmtId="164" fontId="3" fillId="0" borderId="1" xfId="0" applyNumberFormat="1" applyFont="1" applyBorder="1"/>
    <xf numFmtId="0" fontId="3" fillId="4" borderId="1" xfId="0" applyFont="1" applyFill="1" applyBorder="1"/>
    <xf numFmtId="1" fontId="3" fillId="4" borderId="1" xfId="0" applyNumberFormat="1" applyFont="1" applyFill="1" applyBorder="1"/>
    <xf numFmtId="0" fontId="4" fillId="2" borderId="1" xfId="0" applyFont="1" applyFill="1" applyBorder="1" applyAlignment="1">
      <alignment vertical="top" wrapText="1"/>
    </xf>
    <xf numFmtId="0" fontId="6" fillId="0" borderId="1" xfId="0" applyFont="1" applyBorder="1" applyAlignment="1">
      <alignment vertical="top" wrapText="1"/>
    </xf>
    <xf numFmtId="0" fontId="7" fillId="0" borderId="0" xfId="0" applyFont="1"/>
    <xf numFmtId="0" fontId="5" fillId="3" borderId="1" xfId="0" applyFont="1" applyFill="1" applyBorder="1"/>
    <xf numFmtId="0" fontId="3" fillId="0" borderId="0" xfId="0" applyFont="1"/>
    <xf numFmtId="9" fontId="3" fillId="0" borderId="0" xfId="0" applyNumberFormat="1" applyFont="1"/>
    <xf numFmtId="0" fontId="2" fillId="0" borderId="0" xfId="0" applyFont="1"/>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Normal="100" workbookViewId="0"/>
  </sheetViews>
  <sheetFormatPr defaultColWidth="8.7109375" defaultRowHeight="15" x14ac:dyDescent="0.25"/>
  <cols>
    <col min="1" max="1" width="24" customWidth="1"/>
    <col min="2" max="2" width="110" customWidth="1"/>
  </cols>
  <sheetData>
    <row r="1" spans="1:2" ht="18" x14ac:dyDescent="0.25">
      <c r="A1" s="1" t="s">
        <v>0</v>
      </c>
    </row>
    <row r="3" spans="1:2" ht="43.5" customHeight="1" x14ac:dyDescent="0.25">
      <c r="A3" s="2" t="s">
        <v>1</v>
      </c>
      <c r="B3" s="3" t="s">
        <v>2</v>
      </c>
    </row>
    <row r="4" spans="1:2" x14ac:dyDescent="0.25">
      <c r="A4" s="2" t="s">
        <v>3</v>
      </c>
      <c r="B4" s="4">
        <v>46313</v>
      </c>
    </row>
    <row r="5" spans="1:2" x14ac:dyDescent="0.25">
      <c r="A5" s="2"/>
      <c r="B5" s="3"/>
    </row>
    <row r="6" spans="1:2" ht="43.5" customHeight="1" x14ac:dyDescent="0.25">
      <c r="A6" s="2" t="s">
        <v>4</v>
      </c>
      <c r="B6" s="3" t="s">
        <v>5</v>
      </c>
    </row>
    <row r="7" spans="1:2" ht="43.5" customHeight="1" x14ac:dyDescent="0.25">
      <c r="A7" s="2" t="s">
        <v>6</v>
      </c>
      <c r="B7" s="3" t="s">
        <v>7</v>
      </c>
    </row>
    <row r="8" spans="1:2" ht="43.5" customHeight="1" x14ac:dyDescent="0.25">
      <c r="A8" s="2" t="s">
        <v>8</v>
      </c>
      <c r="B8" s="3" t="s">
        <v>9</v>
      </c>
    </row>
    <row r="9" spans="1:2" ht="43.5" customHeight="1" x14ac:dyDescent="0.25">
      <c r="A9" s="2" t="s">
        <v>10</v>
      </c>
      <c r="B9" s="3" t="s">
        <v>11</v>
      </c>
    </row>
    <row r="10" spans="1:2" ht="43.5" customHeight="1" x14ac:dyDescent="0.25">
      <c r="A10" s="2" t="s">
        <v>12</v>
      </c>
      <c r="B10" s="3" t="s">
        <v>13</v>
      </c>
    </row>
    <row r="11" spans="1:2" ht="43.5" customHeight="1" x14ac:dyDescent="0.25">
      <c r="A11" s="2" t="s">
        <v>14</v>
      </c>
      <c r="B11" s="3"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zoomScaleNormal="100" workbookViewId="0">
      <pane ySplit="1" topLeftCell="A2" activePane="bottomLeft" state="frozen"/>
      <selection pane="bottomLeft"/>
    </sheetView>
  </sheetViews>
  <sheetFormatPr defaultColWidth="8.7109375" defaultRowHeight="15" x14ac:dyDescent="0.25"/>
  <cols>
    <col min="1" max="1" width="12" customWidth="1"/>
    <col min="2" max="2" width="18" customWidth="1"/>
    <col min="3" max="3" width="14" customWidth="1"/>
    <col min="4" max="4" width="26" customWidth="1"/>
    <col min="5" max="5" width="18" customWidth="1"/>
    <col min="6" max="6" width="16" customWidth="1"/>
    <col min="7" max="7" width="18" customWidth="1"/>
    <col min="8" max="8" width="44" customWidth="1"/>
  </cols>
  <sheetData>
    <row r="1" spans="1:8" ht="25.5" x14ac:dyDescent="0.25">
      <c r="A1" s="5" t="s">
        <v>16</v>
      </c>
      <c r="B1" s="5" t="s">
        <v>17</v>
      </c>
      <c r="C1" s="5" t="s">
        <v>18</v>
      </c>
      <c r="D1" s="5" t="s">
        <v>19</v>
      </c>
      <c r="E1" s="5" t="s">
        <v>20</v>
      </c>
      <c r="F1" s="5" t="s">
        <v>21</v>
      </c>
      <c r="G1" s="5" t="s">
        <v>22</v>
      </c>
      <c r="H1" s="5" t="s">
        <v>23</v>
      </c>
    </row>
    <row r="2" spans="1:8" x14ac:dyDescent="0.25">
      <c r="A2" s="6" t="s">
        <v>24</v>
      </c>
      <c r="B2" s="6" t="s">
        <v>25</v>
      </c>
      <c r="C2" s="6" t="s">
        <v>26</v>
      </c>
      <c r="D2" s="6" t="s">
        <v>27</v>
      </c>
      <c r="E2" s="6" t="s">
        <v>28</v>
      </c>
      <c r="F2" s="6" t="s">
        <v>29</v>
      </c>
      <c r="G2" s="6"/>
      <c r="H2" s="6"/>
    </row>
    <row r="3" spans="1:8" x14ac:dyDescent="0.25">
      <c r="A3" s="6" t="s">
        <v>30</v>
      </c>
      <c r="B3" s="6" t="s">
        <v>31</v>
      </c>
      <c r="C3" s="6" t="s">
        <v>26</v>
      </c>
      <c r="D3" s="6" t="s">
        <v>32</v>
      </c>
      <c r="E3" s="6" t="s">
        <v>25</v>
      </c>
      <c r="F3" s="6" t="s">
        <v>29</v>
      </c>
      <c r="G3" s="6"/>
      <c r="H3" s="6"/>
    </row>
    <row r="4" spans="1:8" x14ac:dyDescent="0.25">
      <c r="A4" s="6" t="s">
        <v>33</v>
      </c>
      <c r="B4" s="6" t="s">
        <v>34</v>
      </c>
      <c r="C4" s="6" t="s">
        <v>26</v>
      </c>
      <c r="D4" s="6" t="s">
        <v>35</v>
      </c>
      <c r="E4" s="6" t="s">
        <v>25</v>
      </c>
      <c r="F4" s="6" t="s">
        <v>29</v>
      </c>
      <c r="G4" s="6"/>
      <c r="H4" s="6"/>
    </row>
    <row r="5" spans="1:8" x14ac:dyDescent="0.25">
      <c r="A5" s="6" t="s">
        <v>36</v>
      </c>
      <c r="B5" s="6" t="s">
        <v>37</v>
      </c>
      <c r="C5" s="6" t="s">
        <v>38</v>
      </c>
      <c r="D5" s="6" t="s">
        <v>39</v>
      </c>
      <c r="E5" s="6" t="s">
        <v>40</v>
      </c>
      <c r="F5" s="6" t="s">
        <v>29</v>
      </c>
      <c r="G5" s="6"/>
      <c r="H5" s="6"/>
    </row>
    <row r="6" spans="1:8" x14ac:dyDescent="0.25">
      <c r="A6" s="6" t="s">
        <v>41</v>
      </c>
      <c r="B6" s="6" t="s">
        <v>40</v>
      </c>
      <c r="C6" s="6" t="s">
        <v>38</v>
      </c>
      <c r="D6" s="6" t="s">
        <v>42</v>
      </c>
      <c r="E6" s="6" t="s">
        <v>28</v>
      </c>
      <c r="F6" s="6" t="s">
        <v>29</v>
      </c>
      <c r="G6" s="6"/>
      <c r="H6" s="6"/>
    </row>
    <row r="7" spans="1:8" x14ac:dyDescent="0.25">
      <c r="A7" s="6" t="s">
        <v>43</v>
      </c>
      <c r="B7" s="6" t="s">
        <v>44</v>
      </c>
      <c r="C7" s="6" t="s">
        <v>45</v>
      </c>
      <c r="D7" s="6" t="s">
        <v>46</v>
      </c>
      <c r="E7" s="6" t="s">
        <v>47</v>
      </c>
      <c r="F7" s="6" t="s">
        <v>29</v>
      </c>
      <c r="G7" s="7">
        <v>46249</v>
      </c>
      <c r="H7" s="6" t="s">
        <v>48</v>
      </c>
    </row>
    <row r="8" spans="1:8" x14ac:dyDescent="0.25">
      <c r="A8" s="6" t="s">
        <v>49</v>
      </c>
      <c r="B8" s="6" t="s">
        <v>47</v>
      </c>
      <c r="C8" s="6" t="s">
        <v>45</v>
      </c>
      <c r="D8" s="6" t="s">
        <v>50</v>
      </c>
      <c r="E8" s="6" t="s">
        <v>28</v>
      </c>
      <c r="F8" s="6" t="s">
        <v>29</v>
      </c>
      <c r="G8" s="6"/>
      <c r="H8" s="6"/>
    </row>
    <row r="9" spans="1:8" x14ac:dyDescent="0.25">
      <c r="A9" s="6" t="s">
        <v>51</v>
      </c>
      <c r="B9" s="6" t="s">
        <v>52</v>
      </c>
      <c r="C9" s="6" t="s">
        <v>53</v>
      </c>
      <c r="D9" s="6" t="s">
        <v>54</v>
      </c>
      <c r="E9" s="6" t="s">
        <v>55</v>
      </c>
      <c r="F9" s="6" t="s">
        <v>56</v>
      </c>
      <c r="G9" s="7">
        <v>46234</v>
      </c>
      <c r="H9" s="6" t="s">
        <v>57</v>
      </c>
    </row>
    <row r="10" spans="1:8" x14ac:dyDescent="0.25">
      <c r="A10" s="6" t="s">
        <v>58</v>
      </c>
      <c r="B10" s="6" t="s">
        <v>55</v>
      </c>
      <c r="C10" s="6" t="s">
        <v>53</v>
      </c>
      <c r="D10" s="6" t="s">
        <v>59</v>
      </c>
      <c r="E10" s="6" t="s">
        <v>28</v>
      </c>
      <c r="F10" s="6" t="s">
        <v>29</v>
      </c>
      <c r="G10" s="6"/>
      <c r="H10" s="6"/>
    </row>
    <row r="11" spans="1:8" x14ac:dyDescent="0.25">
      <c r="A11" s="6" t="s">
        <v>60</v>
      </c>
      <c r="B11" s="6" t="s">
        <v>61</v>
      </c>
      <c r="C11" s="6" t="s">
        <v>38</v>
      </c>
      <c r="D11" s="6" t="s">
        <v>62</v>
      </c>
      <c r="E11" s="6" t="s">
        <v>40</v>
      </c>
      <c r="F11" s="6" t="s">
        <v>29</v>
      </c>
      <c r="G11" s="6"/>
      <c r="H11" s="6" t="s">
        <v>63</v>
      </c>
    </row>
    <row r="12" spans="1:8" x14ac:dyDescent="0.25">
      <c r="A12" s="6" t="s">
        <v>64</v>
      </c>
      <c r="B12" s="6" t="s">
        <v>65</v>
      </c>
      <c r="C12" s="6" t="s">
        <v>66</v>
      </c>
      <c r="D12" s="6" t="s">
        <v>67</v>
      </c>
      <c r="E12" s="6" t="s">
        <v>68</v>
      </c>
      <c r="F12" s="6" t="s">
        <v>29</v>
      </c>
      <c r="G12" s="6"/>
      <c r="H12" s="6"/>
    </row>
    <row r="13" spans="1:8" x14ac:dyDescent="0.25">
      <c r="A13" s="6" t="s">
        <v>69</v>
      </c>
      <c r="B13" s="6" t="s">
        <v>68</v>
      </c>
      <c r="C13" s="6" t="s">
        <v>66</v>
      </c>
      <c r="D13" s="6" t="s">
        <v>70</v>
      </c>
      <c r="E13" s="6" t="s">
        <v>28</v>
      </c>
      <c r="F13" s="6" t="s">
        <v>29</v>
      </c>
      <c r="G13" s="6"/>
      <c r="H13" s="6"/>
    </row>
    <row r="14" spans="1:8" x14ac:dyDescent="0.25">
      <c r="A14" s="6" t="s">
        <v>71</v>
      </c>
      <c r="B14" s="6" t="s">
        <v>72</v>
      </c>
      <c r="C14" s="6" t="s">
        <v>73</v>
      </c>
      <c r="D14" s="6" t="s">
        <v>74</v>
      </c>
      <c r="E14" s="6" t="s">
        <v>75</v>
      </c>
      <c r="F14" s="6" t="s">
        <v>29</v>
      </c>
      <c r="G14" s="6"/>
      <c r="H14" s="6"/>
    </row>
    <row r="15" spans="1:8" x14ac:dyDescent="0.25">
      <c r="A15" s="6" t="s">
        <v>76</v>
      </c>
      <c r="B15" s="6" t="s">
        <v>75</v>
      </c>
      <c r="C15" s="6" t="s">
        <v>73</v>
      </c>
      <c r="D15" s="6" t="s">
        <v>77</v>
      </c>
      <c r="E15" s="6" t="s">
        <v>28</v>
      </c>
      <c r="F15" s="6" t="s">
        <v>29</v>
      </c>
      <c r="G15" s="6"/>
      <c r="H15" s="6"/>
    </row>
    <row r="16" spans="1:8" x14ac:dyDescent="0.25">
      <c r="A16" s="6" t="s">
        <v>78</v>
      </c>
      <c r="B16" s="6" t="s">
        <v>79</v>
      </c>
      <c r="C16" s="6" t="s">
        <v>53</v>
      </c>
      <c r="D16" s="6" t="s">
        <v>80</v>
      </c>
      <c r="E16" s="6" t="s">
        <v>55</v>
      </c>
      <c r="F16" s="6" t="s">
        <v>81</v>
      </c>
      <c r="G16" s="7">
        <v>46266</v>
      </c>
      <c r="H16" s="6" t="s">
        <v>82</v>
      </c>
    </row>
    <row r="17" spans="1:8" x14ac:dyDescent="0.25">
      <c r="A17" s="6" t="s">
        <v>83</v>
      </c>
      <c r="B17" s="6" t="s">
        <v>84</v>
      </c>
      <c r="C17" s="6" t="s">
        <v>26</v>
      </c>
      <c r="D17" s="6" t="s">
        <v>85</v>
      </c>
      <c r="E17" s="6" t="s">
        <v>25</v>
      </c>
      <c r="F17" s="6" t="s">
        <v>86</v>
      </c>
      <c r="G17" s="7">
        <v>46295</v>
      </c>
      <c r="H17" s="6" t="s">
        <v>87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zoomScaleNormal="100" workbookViewId="0">
      <pane xSplit="2" ySplit="1" topLeftCell="C2" activePane="bottomRight" state="frozen"/>
      <selection pane="topRight" activeCell="C1" sqref="C1"/>
      <selection pane="bottomLeft" activeCell="A2" sqref="A2"/>
      <selection pane="bottomRight" activeCell="N34" sqref="N34"/>
    </sheetView>
  </sheetViews>
  <sheetFormatPr defaultColWidth="8.7109375" defaultRowHeight="15" x14ac:dyDescent="0.25"/>
  <cols>
    <col min="1" max="1" width="10" customWidth="1"/>
    <col min="2" max="2" width="12" customWidth="1"/>
    <col min="3" max="3" width="18" customWidth="1"/>
    <col min="4" max="6" width="16" customWidth="1"/>
    <col min="7" max="7" width="34" customWidth="1"/>
    <col min="8" max="8" width="14" customWidth="1"/>
    <col min="9" max="9" width="13" customWidth="1"/>
    <col min="10" max="10" width="16" customWidth="1"/>
    <col min="11" max="11" width="13" customWidth="1"/>
    <col min="12" max="12" width="12" customWidth="1"/>
    <col min="13" max="13" width="20" customWidth="1"/>
    <col min="14" max="14" width="60" customWidth="1"/>
  </cols>
  <sheetData>
    <row r="1" spans="1:14" ht="31.5" customHeight="1" x14ac:dyDescent="0.25">
      <c r="A1" s="5" t="s">
        <v>88</v>
      </c>
      <c r="B1" s="5" t="s">
        <v>16</v>
      </c>
      <c r="C1" s="5" t="s">
        <v>89</v>
      </c>
      <c r="D1" s="5" t="s">
        <v>90</v>
      </c>
      <c r="E1" s="5" t="s">
        <v>91</v>
      </c>
      <c r="F1" s="5" t="s">
        <v>92</v>
      </c>
      <c r="G1" s="5" t="s">
        <v>93</v>
      </c>
      <c r="H1" s="5" t="s">
        <v>94</v>
      </c>
      <c r="I1" s="5" t="s">
        <v>95</v>
      </c>
      <c r="J1" s="5" t="s">
        <v>96</v>
      </c>
      <c r="K1" s="5" t="s">
        <v>97</v>
      </c>
      <c r="L1" s="5" t="s">
        <v>98</v>
      </c>
      <c r="M1" s="5" t="s">
        <v>99</v>
      </c>
      <c r="N1" s="5" t="s">
        <v>100</v>
      </c>
    </row>
    <row r="2" spans="1:14" ht="25.5" x14ac:dyDescent="0.25">
      <c r="A2" s="6" t="s">
        <v>101</v>
      </c>
      <c r="B2" s="6" t="s">
        <v>24</v>
      </c>
      <c r="C2" s="8" t="str">
        <f>IFERROR(INDEX('HR Roster'!$B$2:$B$17,MATCH($B2,'HR Roster'!$A$2:$A$17,0)),"NOT IN HR ROSTER")</f>
        <v>Dana Whitfield</v>
      </c>
      <c r="D2" s="8" t="str">
        <f>IFERROR(INDEX('HR Roster'!$C$2:$C$17,MATCH($B2,'HR Roster'!$A$2:$A$17,0)),"NOT IN HR ROSTER")</f>
        <v>Finance</v>
      </c>
      <c r="E2" s="8" t="str">
        <f>IFERROR(INDEX('HR Roster'!$F$2:$F$17,MATCH($B2,'HR Roster'!$A$2:$A$17,0)),"NOT IN HR ROSTER")</f>
        <v>Active</v>
      </c>
      <c r="F2" s="6" t="s">
        <v>102</v>
      </c>
      <c r="G2" s="6" t="s">
        <v>103</v>
      </c>
      <c r="H2" s="6" t="s">
        <v>104</v>
      </c>
      <c r="I2" s="7">
        <v>44256</v>
      </c>
      <c r="J2" s="6" t="s">
        <v>40</v>
      </c>
      <c r="K2" s="7">
        <v>46311</v>
      </c>
      <c r="L2" s="9">
        <f>README!$B$4-K2</f>
        <v>2</v>
      </c>
      <c r="M2" s="10" t="s">
        <v>181</v>
      </c>
      <c r="N2" s="10" t="s">
        <v>190</v>
      </c>
    </row>
    <row r="3" spans="1:14" ht="25.5" x14ac:dyDescent="0.25">
      <c r="A3" s="6" t="s">
        <v>105</v>
      </c>
      <c r="B3" s="6" t="s">
        <v>24</v>
      </c>
      <c r="C3" s="8" t="str">
        <f>IFERROR(INDEX('HR Roster'!$B$2:$B$17,MATCH($B3,'HR Roster'!$A$2:$A$17,0)),"NOT IN HR ROSTER")</f>
        <v>Dana Whitfield</v>
      </c>
      <c r="D3" s="8" t="str">
        <f>IFERROR(INDEX('HR Roster'!$C$2:$C$17,MATCH($B3,'HR Roster'!$A$2:$A$17,0)),"NOT IN HR ROSTER")</f>
        <v>Finance</v>
      </c>
      <c r="E3" s="8" t="str">
        <f>IFERROR(INDEX('HR Roster'!$F$2:$F$17,MATCH($B3,'HR Roster'!$A$2:$A$17,0)),"NOT IN HR ROSTER")</f>
        <v>Active</v>
      </c>
      <c r="F3" s="6" t="s">
        <v>106</v>
      </c>
      <c r="G3" s="6" t="s">
        <v>107</v>
      </c>
      <c r="H3" s="6" t="s">
        <v>108</v>
      </c>
      <c r="I3" s="7">
        <v>44256</v>
      </c>
      <c r="J3" s="6" t="s">
        <v>40</v>
      </c>
      <c r="K3" s="7">
        <v>46310</v>
      </c>
      <c r="L3" s="9">
        <f>README!$B$4-K3</f>
        <v>3</v>
      </c>
      <c r="M3" s="10" t="s">
        <v>181</v>
      </c>
      <c r="N3" s="10" t="s">
        <v>190</v>
      </c>
    </row>
    <row r="4" spans="1:14" ht="25.5" x14ac:dyDescent="0.25">
      <c r="A4" s="6" t="s">
        <v>109</v>
      </c>
      <c r="B4" s="6" t="s">
        <v>30</v>
      </c>
      <c r="C4" s="8" t="str">
        <f>IFERROR(INDEX('HR Roster'!$B$2:$B$17,MATCH($B4,'HR Roster'!$A$2:$A$17,0)),"NOT IN HR ROSTER")</f>
        <v>Marcus Lee</v>
      </c>
      <c r="D4" s="8" t="str">
        <f>IFERROR(INDEX('HR Roster'!$C$2:$C$17,MATCH($B4,'HR Roster'!$A$2:$A$17,0)),"NOT IN HR ROSTER")</f>
        <v>Finance</v>
      </c>
      <c r="E4" s="8" t="str">
        <f>IFERROR(INDEX('HR Roster'!$F$2:$F$17,MATCH($B4,'HR Roster'!$A$2:$A$17,0)),"NOT IN HR ROSTER")</f>
        <v>Active</v>
      </c>
      <c r="F4" s="6" t="s">
        <v>102</v>
      </c>
      <c r="G4" s="6" t="s">
        <v>103</v>
      </c>
      <c r="H4" s="6" t="s">
        <v>104</v>
      </c>
      <c r="I4" s="7">
        <v>44691</v>
      </c>
      <c r="J4" s="6" t="s">
        <v>25</v>
      </c>
      <c r="K4" s="7">
        <v>46312</v>
      </c>
      <c r="L4" s="9">
        <f>README!$B$4-K4</f>
        <v>1</v>
      </c>
      <c r="M4" s="10" t="s">
        <v>181</v>
      </c>
      <c r="N4" s="10" t="s">
        <v>190</v>
      </c>
    </row>
    <row r="5" spans="1:14" ht="25.5" x14ac:dyDescent="0.25">
      <c r="A5" s="6" t="s">
        <v>110</v>
      </c>
      <c r="B5" s="6" t="s">
        <v>30</v>
      </c>
      <c r="C5" s="8" t="str">
        <f>IFERROR(INDEX('HR Roster'!$B$2:$B$17,MATCH($B5,'HR Roster'!$A$2:$A$17,0)),"NOT IN HR ROSTER")</f>
        <v>Marcus Lee</v>
      </c>
      <c r="D5" s="8" t="str">
        <f>IFERROR(INDEX('HR Roster'!$C$2:$C$17,MATCH($B5,'HR Roster'!$A$2:$A$17,0)),"NOT IN HR ROSTER")</f>
        <v>Finance</v>
      </c>
      <c r="E5" s="8" t="str">
        <f>IFERROR(INDEX('HR Roster'!$F$2:$F$17,MATCH($B5,'HR Roster'!$A$2:$A$17,0)),"NOT IN HR ROSTER")</f>
        <v>Active</v>
      </c>
      <c r="F5" s="6" t="s">
        <v>106</v>
      </c>
      <c r="G5" s="6" t="s">
        <v>111</v>
      </c>
      <c r="H5" s="6" t="s">
        <v>104</v>
      </c>
      <c r="I5" s="7">
        <v>44691</v>
      </c>
      <c r="J5" s="6" t="s">
        <v>25</v>
      </c>
      <c r="K5" s="7">
        <v>46312</v>
      </c>
      <c r="L5" s="9">
        <f>README!$B$4-K5</f>
        <v>1</v>
      </c>
      <c r="M5" s="10" t="s">
        <v>181</v>
      </c>
      <c r="N5" s="10" t="s">
        <v>190</v>
      </c>
    </row>
    <row r="6" spans="1:14" ht="25.5" x14ac:dyDescent="0.25">
      <c r="A6" s="6" t="s">
        <v>112</v>
      </c>
      <c r="B6" s="6" t="s">
        <v>33</v>
      </c>
      <c r="C6" s="8" t="str">
        <f>IFERROR(INDEX('HR Roster'!$B$2:$B$17,MATCH($B6,'HR Roster'!$A$2:$A$17,0)),"NOT IN HR ROSTER")</f>
        <v>Priya Nair</v>
      </c>
      <c r="D6" s="8" t="str">
        <f>IFERROR(INDEX('HR Roster'!$C$2:$C$17,MATCH($B6,'HR Roster'!$A$2:$A$17,0)),"NOT IN HR ROSTER")</f>
        <v>Finance</v>
      </c>
      <c r="E6" s="8" t="str">
        <f>IFERROR(INDEX('HR Roster'!$F$2:$F$17,MATCH($B6,'HR Roster'!$A$2:$A$17,0)),"NOT IN HR ROSTER")</f>
        <v>Active</v>
      </c>
      <c r="F6" s="6" t="s">
        <v>102</v>
      </c>
      <c r="G6" s="6" t="s">
        <v>103</v>
      </c>
      <c r="H6" s="6" t="s">
        <v>104</v>
      </c>
      <c r="I6" s="7">
        <v>44816</v>
      </c>
      <c r="J6" s="6" t="s">
        <v>25</v>
      </c>
      <c r="K6" s="7">
        <v>46311</v>
      </c>
      <c r="L6" s="9">
        <f>README!$B$4-K6</f>
        <v>2</v>
      </c>
      <c r="M6" s="10" t="s">
        <v>181</v>
      </c>
      <c r="N6" s="10" t="s">
        <v>190</v>
      </c>
    </row>
    <row r="7" spans="1:14" ht="25.5" x14ac:dyDescent="0.25">
      <c r="A7" s="6" t="s">
        <v>113</v>
      </c>
      <c r="B7" s="6" t="s">
        <v>33</v>
      </c>
      <c r="C7" s="8" t="str">
        <f>IFERROR(INDEX('HR Roster'!$B$2:$B$17,MATCH($B7,'HR Roster'!$A$2:$A$17,0)),"NOT IN HR ROSTER")</f>
        <v>Priya Nair</v>
      </c>
      <c r="D7" s="8" t="str">
        <f>IFERROR(INDEX('HR Roster'!$C$2:$C$17,MATCH($B7,'HR Roster'!$A$2:$A$17,0)),"NOT IN HR ROSTER")</f>
        <v>Finance</v>
      </c>
      <c r="E7" s="8" t="str">
        <f>IFERROR(INDEX('HR Roster'!$F$2:$F$17,MATCH($B7,'HR Roster'!$A$2:$A$17,0)),"NOT IN HR ROSTER")</f>
        <v>Active</v>
      </c>
      <c r="F7" s="6" t="s">
        <v>106</v>
      </c>
      <c r="G7" s="6" t="s">
        <v>114</v>
      </c>
      <c r="H7" s="6" t="s">
        <v>108</v>
      </c>
      <c r="I7" s="7">
        <v>44938</v>
      </c>
      <c r="J7" s="6" t="s">
        <v>25</v>
      </c>
      <c r="K7" s="7">
        <v>46309</v>
      </c>
      <c r="L7" s="9">
        <f>README!$B$4-K7</f>
        <v>4</v>
      </c>
      <c r="M7" s="10" t="s">
        <v>183</v>
      </c>
      <c r="N7" s="10" t="s">
        <v>200</v>
      </c>
    </row>
    <row r="8" spans="1:14" ht="25.5" x14ac:dyDescent="0.25">
      <c r="A8" s="6" t="s">
        <v>115</v>
      </c>
      <c r="B8" s="6" t="s">
        <v>33</v>
      </c>
      <c r="C8" s="8" t="str">
        <f>IFERROR(INDEX('HR Roster'!$B$2:$B$17,MATCH($B8,'HR Roster'!$A$2:$A$17,0)),"NOT IN HR ROSTER")</f>
        <v>Priya Nair</v>
      </c>
      <c r="D8" s="8" t="str">
        <f>IFERROR(INDEX('HR Roster'!$C$2:$C$17,MATCH($B8,'HR Roster'!$A$2:$A$17,0)),"NOT IN HR ROSTER")</f>
        <v>Finance</v>
      </c>
      <c r="E8" s="8" t="str">
        <f>IFERROR(INDEX('HR Roster'!$F$2:$F$17,MATCH($B8,'HR Roster'!$A$2:$A$17,0)),"NOT IN HR ROSTER")</f>
        <v>Active</v>
      </c>
      <c r="F8" s="6" t="s">
        <v>106</v>
      </c>
      <c r="G8" s="6" t="s">
        <v>116</v>
      </c>
      <c r="H8" s="6" t="s">
        <v>108</v>
      </c>
      <c r="I8" s="7">
        <v>45446</v>
      </c>
      <c r="J8" s="6" t="s">
        <v>25</v>
      </c>
      <c r="K8" s="7">
        <v>46309</v>
      </c>
      <c r="L8" s="9">
        <f>README!$B$4-K8</f>
        <v>4</v>
      </c>
      <c r="M8" s="10" t="s">
        <v>183</v>
      </c>
      <c r="N8" s="10" t="s">
        <v>200</v>
      </c>
    </row>
    <row r="9" spans="1:14" ht="25.5" x14ac:dyDescent="0.25">
      <c r="A9" s="6" t="s">
        <v>117</v>
      </c>
      <c r="B9" s="6" t="s">
        <v>36</v>
      </c>
      <c r="C9" s="8" t="str">
        <f>IFERROR(INDEX('HR Roster'!$B$2:$B$17,MATCH($B9,'HR Roster'!$A$2:$A$17,0)),"NOT IN HR ROSTER")</f>
        <v>Tom Becker</v>
      </c>
      <c r="D9" s="8" t="str">
        <f>IFERROR(INDEX('HR Roster'!$C$2:$C$17,MATCH($B9,'HR Roster'!$A$2:$A$17,0)),"NOT IN HR ROSTER")</f>
        <v>IT</v>
      </c>
      <c r="E9" s="8" t="str">
        <f>IFERROR(INDEX('HR Roster'!$F$2:$F$17,MATCH($B9,'HR Roster'!$A$2:$A$17,0)),"NOT IN HR ROSTER")</f>
        <v>Active</v>
      </c>
      <c r="F9" s="6" t="s">
        <v>102</v>
      </c>
      <c r="G9" s="6" t="s">
        <v>118</v>
      </c>
      <c r="H9" s="6" t="s">
        <v>108</v>
      </c>
      <c r="I9" s="7">
        <v>43863</v>
      </c>
      <c r="J9" s="6" t="s">
        <v>40</v>
      </c>
      <c r="K9" s="7">
        <v>46312</v>
      </c>
      <c r="L9" s="9">
        <f>README!$B$4-K9</f>
        <v>1</v>
      </c>
      <c r="M9" s="10" t="s">
        <v>181</v>
      </c>
      <c r="N9" s="10" t="s">
        <v>238</v>
      </c>
    </row>
    <row r="10" spans="1:14" ht="25.5" x14ac:dyDescent="0.25">
      <c r="A10" s="6" t="s">
        <v>119</v>
      </c>
      <c r="B10" s="6" t="s">
        <v>36</v>
      </c>
      <c r="C10" s="8" t="str">
        <f>IFERROR(INDEX('HR Roster'!$B$2:$B$17,MATCH($B10,'HR Roster'!$A$2:$A$17,0)),"NOT IN HR ROSTER")</f>
        <v>Tom Becker</v>
      </c>
      <c r="D10" s="8" t="str">
        <f>IFERROR(INDEX('HR Roster'!$C$2:$C$17,MATCH($B10,'HR Roster'!$A$2:$A$17,0)),"NOT IN HR ROSTER")</f>
        <v>IT</v>
      </c>
      <c r="E10" s="8" t="str">
        <f>IFERROR(INDEX('HR Roster'!$F$2:$F$17,MATCH($B10,'HR Roster'!$A$2:$A$17,0)),"NOT IN HR ROSTER")</f>
        <v>Active</v>
      </c>
      <c r="F10" s="6" t="s">
        <v>120</v>
      </c>
      <c r="G10" s="6" t="s">
        <v>121</v>
      </c>
      <c r="H10" s="6" t="s">
        <v>108</v>
      </c>
      <c r="I10" s="7">
        <v>44396</v>
      </c>
      <c r="J10" s="6" t="s">
        <v>40</v>
      </c>
      <c r="K10" s="7">
        <v>46307</v>
      </c>
      <c r="L10" s="9">
        <f>README!$B$4-K10</f>
        <v>6</v>
      </c>
      <c r="M10" s="10" t="s">
        <v>181</v>
      </c>
      <c r="N10" s="10" t="s">
        <v>238</v>
      </c>
    </row>
    <row r="11" spans="1:14" ht="25.5" x14ac:dyDescent="0.25">
      <c r="A11" s="6" t="s">
        <v>122</v>
      </c>
      <c r="B11" s="6" t="s">
        <v>41</v>
      </c>
      <c r="C11" s="8" t="str">
        <f>IFERROR(INDEX('HR Roster'!$B$2:$B$17,MATCH($B11,'HR Roster'!$A$2:$A$17,0)),"NOT IN HR ROSTER")</f>
        <v>Sam Ortiz</v>
      </c>
      <c r="D11" s="8" t="str">
        <f>IFERROR(INDEX('HR Roster'!$C$2:$C$17,MATCH($B11,'HR Roster'!$A$2:$A$17,0)),"NOT IN HR ROSTER")</f>
        <v>IT</v>
      </c>
      <c r="E11" s="8" t="str">
        <f>IFERROR(INDEX('HR Roster'!$F$2:$F$17,MATCH($B11,'HR Roster'!$A$2:$A$17,0)),"NOT IN HR ROSTER")</f>
        <v>Active</v>
      </c>
      <c r="F11" s="6" t="s">
        <v>102</v>
      </c>
      <c r="G11" s="6" t="s">
        <v>118</v>
      </c>
      <c r="H11" s="6" t="s">
        <v>108</v>
      </c>
      <c r="I11" s="7">
        <v>43717</v>
      </c>
      <c r="J11" s="6" t="s">
        <v>28</v>
      </c>
      <c r="K11" s="7">
        <v>46305</v>
      </c>
      <c r="L11" s="9">
        <f>README!$B$4-K11</f>
        <v>8</v>
      </c>
      <c r="M11" s="10" t="s">
        <v>181</v>
      </c>
      <c r="N11" s="10" t="s">
        <v>190</v>
      </c>
    </row>
    <row r="12" spans="1:14" ht="25.5" x14ac:dyDescent="0.25">
      <c r="A12" s="6" t="s">
        <v>123</v>
      </c>
      <c r="B12" s="6" t="s">
        <v>43</v>
      </c>
      <c r="C12" s="8" t="str">
        <f>IFERROR(INDEX('HR Roster'!$B$2:$B$17,MATCH($B12,'HR Roster'!$A$2:$A$17,0)),"NOT IN HR ROSTER")</f>
        <v>Elena Ruiz</v>
      </c>
      <c r="D12" s="8" t="str">
        <f>IFERROR(INDEX('HR Roster'!$C$2:$C$17,MATCH($B12,'HR Roster'!$A$2:$A$17,0)),"NOT IN HR ROSTER")</f>
        <v>Marketing</v>
      </c>
      <c r="E12" s="8" t="str">
        <f>IFERROR(INDEX('HR Roster'!$F$2:$F$17,MATCH($B12,'HR Roster'!$A$2:$A$17,0)),"NOT IN HR ROSTER")</f>
        <v>Active</v>
      </c>
      <c r="F12" s="6" t="s">
        <v>102</v>
      </c>
      <c r="G12" s="6" t="s">
        <v>103</v>
      </c>
      <c r="H12" s="6" t="s">
        <v>104</v>
      </c>
      <c r="I12" s="7">
        <v>45342</v>
      </c>
      <c r="J12" s="6" t="s">
        <v>47</v>
      </c>
      <c r="K12" s="7">
        <v>46312</v>
      </c>
      <c r="L12" s="9">
        <f>README!$B$4-K12</f>
        <v>1</v>
      </c>
      <c r="M12" s="10" t="s">
        <v>181</v>
      </c>
      <c r="N12" s="10" t="s">
        <v>190</v>
      </c>
    </row>
    <row r="13" spans="1:14" ht="25.5" x14ac:dyDescent="0.25">
      <c r="A13" s="6" t="s">
        <v>124</v>
      </c>
      <c r="B13" s="6" t="s">
        <v>43</v>
      </c>
      <c r="C13" s="8" t="str">
        <f>IFERROR(INDEX('HR Roster'!$B$2:$B$17,MATCH($B13,'HR Roster'!$A$2:$A$17,0)),"NOT IN HR ROSTER")</f>
        <v>Elena Ruiz</v>
      </c>
      <c r="D13" s="8" t="str">
        <f>IFERROR(INDEX('HR Roster'!$C$2:$C$17,MATCH($B13,'HR Roster'!$A$2:$A$17,0)),"NOT IN HR ROSTER")</f>
        <v>Marketing</v>
      </c>
      <c r="E13" s="8" t="str">
        <f>IFERROR(INDEX('HR Roster'!$F$2:$F$17,MATCH($B13,'HR Roster'!$A$2:$A$17,0)),"NOT IN HR ROSTER")</f>
        <v>Active</v>
      </c>
      <c r="F13" s="6" t="s">
        <v>106</v>
      </c>
      <c r="G13" s="6" t="s">
        <v>107</v>
      </c>
      <c r="H13" s="6" t="s">
        <v>108</v>
      </c>
      <c r="I13" s="7">
        <v>45342</v>
      </c>
      <c r="J13" s="6" t="s">
        <v>25</v>
      </c>
      <c r="K13" s="7">
        <v>46267</v>
      </c>
      <c r="L13" s="9">
        <f>README!$B$4-K13</f>
        <v>46</v>
      </c>
      <c r="M13" s="10" t="s">
        <v>182</v>
      </c>
      <c r="N13" s="10" t="s">
        <v>191</v>
      </c>
    </row>
    <row r="14" spans="1:14" ht="25.5" x14ac:dyDescent="0.25">
      <c r="A14" s="6" t="s">
        <v>125</v>
      </c>
      <c r="B14" s="6" t="s">
        <v>43</v>
      </c>
      <c r="C14" s="8" t="str">
        <f>IFERROR(INDEX('HR Roster'!$B$2:$B$17,MATCH($B14,'HR Roster'!$A$2:$A$17,0)),"NOT IN HR ROSTER")</f>
        <v>Elena Ruiz</v>
      </c>
      <c r="D14" s="8" t="str">
        <f>IFERROR(INDEX('HR Roster'!$C$2:$C$17,MATCH($B14,'HR Roster'!$A$2:$A$17,0)),"NOT IN HR ROSTER")</f>
        <v>Marketing</v>
      </c>
      <c r="E14" s="8" t="str">
        <f>IFERROR(INDEX('HR Roster'!$F$2:$F$17,MATCH($B14,'HR Roster'!$A$2:$A$17,0)),"NOT IN HR ROSTER")</f>
        <v>Active</v>
      </c>
      <c r="F14" s="6" t="s">
        <v>126</v>
      </c>
      <c r="G14" s="6" t="s">
        <v>127</v>
      </c>
      <c r="H14" s="6" t="s">
        <v>104</v>
      </c>
      <c r="I14" s="7">
        <v>45342</v>
      </c>
      <c r="J14" s="6" t="s">
        <v>25</v>
      </c>
      <c r="K14" s="7">
        <v>46285</v>
      </c>
      <c r="L14" s="9">
        <f>README!$B$4-K14</f>
        <v>28</v>
      </c>
      <c r="M14" s="10" t="s">
        <v>182</v>
      </c>
      <c r="N14" s="10" t="s">
        <v>191</v>
      </c>
    </row>
    <row r="15" spans="1:14" ht="25.5" x14ac:dyDescent="0.25">
      <c r="A15" s="6" t="s">
        <v>128</v>
      </c>
      <c r="B15" s="6" t="s">
        <v>49</v>
      </c>
      <c r="C15" s="8" t="str">
        <f>IFERROR(INDEX('HR Roster'!$B$2:$B$17,MATCH($B15,'HR Roster'!$A$2:$A$17,0)),"NOT IN HR ROSTER")</f>
        <v>Chris Hale</v>
      </c>
      <c r="D15" s="8" t="str">
        <f>IFERROR(INDEX('HR Roster'!$C$2:$C$17,MATCH($B15,'HR Roster'!$A$2:$A$17,0)),"NOT IN HR ROSTER")</f>
        <v>Marketing</v>
      </c>
      <c r="E15" s="8" t="str">
        <f>IFERROR(INDEX('HR Roster'!$F$2:$F$17,MATCH($B15,'HR Roster'!$A$2:$A$17,0)),"NOT IN HR ROSTER")</f>
        <v>Active</v>
      </c>
      <c r="F15" s="6" t="s">
        <v>102</v>
      </c>
      <c r="G15" s="6" t="s">
        <v>103</v>
      </c>
      <c r="H15" s="6" t="s">
        <v>104</v>
      </c>
      <c r="I15" s="7">
        <v>43997</v>
      </c>
      <c r="J15" s="6" t="s">
        <v>28</v>
      </c>
      <c r="K15" s="7">
        <v>46311</v>
      </c>
      <c r="L15" s="9">
        <f>README!$B$4-K15</f>
        <v>2</v>
      </c>
      <c r="M15" s="10" t="s">
        <v>181</v>
      </c>
      <c r="N15" s="10" t="s">
        <v>190</v>
      </c>
    </row>
    <row r="16" spans="1:14" ht="25.5" x14ac:dyDescent="0.25">
      <c r="A16" s="6" t="s">
        <v>129</v>
      </c>
      <c r="B16" s="6" t="s">
        <v>51</v>
      </c>
      <c r="C16" s="8" t="str">
        <f>IFERROR(INDEX('HR Roster'!$B$2:$B$17,MATCH($B16,'HR Roster'!$A$2:$A$17,0)),"NOT IN HR ROSTER")</f>
        <v>Jordan Price</v>
      </c>
      <c r="D16" s="8" t="str">
        <f>IFERROR(INDEX('HR Roster'!$C$2:$C$17,MATCH($B16,'HR Roster'!$A$2:$A$17,0)),"NOT IN HR ROSTER")</f>
        <v>Sales</v>
      </c>
      <c r="E16" s="8" t="str">
        <f>IFERROR(INDEX('HR Roster'!$F$2:$F$17,MATCH($B16,'HR Roster'!$A$2:$A$17,0)),"NOT IN HR ROSTER")</f>
        <v>Terminated</v>
      </c>
      <c r="F16" s="6" t="s">
        <v>102</v>
      </c>
      <c r="G16" s="6" t="s">
        <v>103</v>
      </c>
      <c r="H16" s="6" t="s">
        <v>104</v>
      </c>
      <c r="I16" s="7">
        <v>45017</v>
      </c>
      <c r="J16" s="6" t="s">
        <v>55</v>
      </c>
      <c r="K16" s="7">
        <v>46300</v>
      </c>
      <c r="L16" s="9">
        <f>README!$B$4-K16</f>
        <v>13</v>
      </c>
      <c r="M16" s="10" t="s">
        <v>182</v>
      </c>
      <c r="N16" s="10" t="s">
        <v>201</v>
      </c>
    </row>
    <row r="17" spans="1:14" ht="25.5" x14ac:dyDescent="0.25">
      <c r="A17" s="6" t="s">
        <v>130</v>
      </c>
      <c r="B17" s="6" t="s">
        <v>51</v>
      </c>
      <c r="C17" s="8" t="str">
        <f>IFERROR(INDEX('HR Roster'!$B$2:$B$17,MATCH($B17,'HR Roster'!$A$2:$A$17,0)),"NOT IN HR ROSTER")</f>
        <v>Jordan Price</v>
      </c>
      <c r="D17" s="8" t="str">
        <f>IFERROR(INDEX('HR Roster'!$C$2:$C$17,MATCH($B17,'HR Roster'!$A$2:$A$17,0)),"NOT IN HR ROSTER")</f>
        <v>Sales</v>
      </c>
      <c r="E17" s="8" t="str">
        <f>IFERROR(INDEX('HR Roster'!$F$2:$F$17,MATCH($B17,'HR Roster'!$A$2:$A$17,0)),"NOT IN HR ROSTER")</f>
        <v>Terminated</v>
      </c>
      <c r="F17" s="6" t="s">
        <v>131</v>
      </c>
      <c r="G17" s="6" t="s">
        <v>132</v>
      </c>
      <c r="H17" s="6" t="s">
        <v>104</v>
      </c>
      <c r="I17" s="7">
        <v>45017</v>
      </c>
      <c r="J17" s="6" t="s">
        <v>55</v>
      </c>
      <c r="K17" s="7">
        <v>46234</v>
      </c>
      <c r="L17" s="9">
        <f>README!$B$4-K17</f>
        <v>79</v>
      </c>
      <c r="M17" s="10" t="s">
        <v>182</v>
      </c>
      <c r="N17" s="10" t="s">
        <v>202</v>
      </c>
    </row>
    <row r="18" spans="1:14" ht="25.5" x14ac:dyDescent="0.25">
      <c r="A18" s="6" t="s">
        <v>133</v>
      </c>
      <c r="B18" s="6" t="s">
        <v>51</v>
      </c>
      <c r="C18" s="8" t="str">
        <f>IFERROR(INDEX('HR Roster'!$B$2:$B$17,MATCH($B18,'HR Roster'!$A$2:$A$17,0)),"NOT IN HR ROSTER")</f>
        <v>Jordan Price</v>
      </c>
      <c r="D18" s="8" t="str">
        <f>IFERROR(INDEX('HR Roster'!$C$2:$C$17,MATCH($B18,'HR Roster'!$A$2:$A$17,0)),"NOT IN HR ROSTER")</f>
        <v>Sales</v>
      </c>
      <c r="E18" s="8" t="str">
        <f>IFERROR(INDEX('HR Roster'!$F$2:$F$17,MATCH($B18,'HR Roster'!$A$2:$A$17,0)),"NOT IN HR ROSTER")</f>
        <v>Terminated</v>
      </c>
      <c r="F18" s="6" t="s">
        <v>134</v>
      </c>
      <c r="G18" s="6" t="s">
        <v>135</v>
      </c>
      <c r="H18" s="6" t="s">
        <v>104</v>
      </c>
      <c r="I18" s="7">
        <v>45017</v>
      </c>
      <c r="J18" s="6" t="s">
        <v>55</v>
      </c>
      <c r="K18" s="7">
        <v>46233</v>
      </c>
      <c r="L18" s="9">
        <f>README!$B$4-K18</f>
        <v>80</v>
      </c>
      <c r="M18" s="10" t="s">
        <v>182</v>
      </c>
      <c r="N18" s="10" t="s">
        <v>202</v>
      </c>
    </row>
    <row r="19" spans="1:14" ht="25.5" x14ac:dyDescent="0.25">
      <c r="A19" s="6" t="s">
        <v>136</v>
      </c>
      <c r="B19" s="6" t="s">
        <v>58</v>
      </c>
      <c r="C19" s="8" t="str">
        <f>IFERROR(INDEX('HR Roster'!$B$2:$B$17,MATCH($B19,'HR Roster'!$A$2:$A$17,0)),"NOT IN HR ROSTER")</f>
        <v>Maya Chen</v>
      </c>
      <c r="D19" s="8" t="str">
        <f>IFERROR(INDEX('HR Roster'!$C$2:$C$17,MATCH($B19,'HR Roster'!$A$2:$A$17,0)),"NOT IN HR ROSTER")</f>
        <v>Sales</v>
      </c>
      <c r="E19" s="8" t="str">
        <f>IFERROR(INDEX('HR Roster'!$F$2:$F$17,MATCH($B19,'HR Roster'!$A$2:$A$17,0)),"NOT IN HR ROSTER")</f>
        <v>Active</v>
      </c>
      <c r="F19" s="6" t="s">
        <v>102</v>
      </c>
      <c r="G19" s="6" t="s">
        <v>103</v>
      </c>
      <c r="H19" s="6" t="s">
        <v>104</v>
      </c>
      <c r="I19" s="7">
        <v>44046</v>
      </c>
      <c r="J19" s="6" t="s">
        <v>28</v>
      </c>
      <c r="K19" s="7">
        <v>46312</v>
      </c>
      <c r="L19" s="9">
        <f>README!$B$4-K19</f>
        <v>1</v>
      </c>
      <c r="M19" s="10" t="s">
        <v>181</v>
      </c>
      <c r="N19" s="10" t="s">
        <v>190</v>
      </c>
    </row>
    <row r="20" spans="1:14" ht="25.5" x14ac:dyDescent="0.25">
      <c r="A20" s="6" t="s">
        <v>137</v>
      </c>
      <c r="B20" s="6" t="s">
        <v>58</v>
      </c>
      <c r="C20" s="8" t="str">
        <f>IFERROR(INDEX('HR Roster'!$B$2:$B$17,MATCH($B20,'HR Roster'!$A$2:$A$17,0)),"NOT IN HR ROSTER")</f>
        <v>Maya Chen</v>
      </c>
      <c r="D20" s="8" t="str">
        <f>IFERROR(INDEX('HR Roster'!$C$2:$C$17,MATCH($B20,'HR Roster'!$A$2:$A$17,0)),"NOT IN HR ROSTER")</f>
        <v>Sales</v>
      </c>
      <c r="E20" s="8" t="str">
        <f>IFERROR(INDEX('HR Roster'!$F$2:$F$17,MATCH($B20,'HR Roster'!$A$2:$A$17,0)),"NOT IN HR ROSTER")</f>
        <v>Active</v>
      </c>
      <c r="F20" s="6" t="s">
        <v>134</v>
      </c>
      <c r="G20" s="6" t="s">
        <v>59</v>
      </c>
      <c r="H20" s="6" t="s">
        <v>104</v>
      </c>
      <c r="I20" s="7">
        <v>44046</v>
      </c>
      <c r="J20" s="6" t="s">
        <v>28</v>
      </c>
      <c r="K20" s="7">
        <v>46311</v>
      </c>
      <c r="L20" s="9">
        <f>README!$B$4-K20</f>
        <v>2</v>
      </c>
      <c r="M20" s="10" t="s">
        <v>181</v>
      </c>
      <c r="N20" s="10" t="s">
        <v>190</v>
      </c>
    </row>
    <row r="21" spans="1:14" ht="25.5" x14ac:dyDescent="0.25">
      <c r="A21" s="6" t="s">
        <v>138</v>
      </c>
      <c r="B21" s="6" t="s">
        <v>60</v>
      </c>
      <c r="C21" s="8" t="str">
        <f>IFERROR(INDEX('HR Roster'!$B$2:$B$17,MATCH($B21,'HR Roster'!$A$2:$A$17,0)),"NOT IN HR ROSTER")</f>
        <v>Alex Kim</v>
      </c>
      <c r="D21" s="8" t="str">
        <f>IFERROR(INDEX('HR Roster'!$C$2:$C$17,MATCH($B21,'HR Roster'!$A$2:$A$17,0)),"NOT IN HR ROSTER")</f>
        <v>IT</v>
      </c>
      <c r="E21" s="8" t="str">
        <f>IFERROR(INDEX('HR Roster'!$F$2:$F$17,MATCH($B21,'HR Roster'!$A$2:$A$17,0)),"NOT IN HR ROSTER")</f>
        <v>Active</v>
      </c>
      <c r="F21" s="6" t="s">
        <v>102</v>
      </c>
      <c r="G21" s="6" t="s">
        <v>103</v>
      </c>
      <c r="H21" s="6" t="s">
        <v>104</v>
      </c>
      <c r="I21" s="7">
        <v>46174</v>
      </c>
      <c r="J21" s="6" t="s">
        <v>40</v>
      </c>
      <c r="K21" s="7">
        <v>46311</v>
      </c>
      <c r="L21" s="9">
        <f>README!$B$4-K21</f>
        <v>2</v>
      </c>
      <c r="M21" s="10" t="s">
        <v>181</v>
      </c>
      <c r="N21" s="10" t="s">
        <v>190</v>
      </c>
    </row>
    <row r="22" spans="1:14" ht="25.5" x14ac:dyDescent="0.25">
      <c r="A22" s="6" t="s">
        <v>139</v>
      </c>
      <c r="B22" s="6" t="s">
        <v>60</v>
      </c>
      <c r="C22" s="8" t="str">
        <f>IFERROR(INDEX('HR Roster'!$B$2:$B$17,MATCH($B22,'HR Roster'!$A$2:$A$17,0)),"NOT IN HR ROSTER")</f>
        <v>Alex Kim</v>
      </c>
      <c r="D22" s="8" t="str">
        <f>IFERROR(INDEX('HR Roster'!$C$2:$C$17,MATCH($B22,'HR Roster'!$A$2:$A$17,0)),"NOT IN HR ROSTER")</f>
        <v>IT</v>
      </c>
      <c r="E22" s="8" t="str">
        <f>IFERROR(INDEX('HR Roster'!$F$2:$F$17,MATCH($B22,'HR Roster'!$A$2:$A$17,0)),"NOT IN HR ROSTER")</f>
        <v>Active</v>
      </c>
      <c r="F22" s="6" t="s">
        <v>120</v>
      </c>
      <c r="G22" s="6" t="s">
        <v>121</v>
      </c>
      <c r="H22" s="6" t="s">
        <v>108</v>
      </c>
      <c r="I22" s="7">
        <v>46175</v>
      </c>
      <c r="J22" s="6" t="s">
        <v>37</v>
      </c>
      <c r="K22" s="7">
        <v>46310</v>
      </c>
      <c r="L22" s="9">
        <f>README!$B$4-K22</f>
        <v>3</v>
      </c>
      <c r="M22" s="10" t="s">
        <v>182</v>
      </c>
      <c r="N22" s="10" t="s">
        <v>192</v>
      </c>
    </row>
    <row r="23" spans="1:14" ht="25.5" x14ac:dyDescent="0.25">
      <c r="A23" s="6" t="s">
        <v>140</v>
      </c>
      <c r="B23" s="6" t="s">
        <v>64</v>
      </c>
      <c r="C23" s="8" t="str">
        <f>IFERROR(INDEX('HR Roster'!$B$2:$B$17,MATCH($B23,'HR Roster'!$A$2:$A$17,0)),"NOT IN HR ROSTER")</f>
        <v>Rosa Alvarez</v>
      </c>
      <c r="D23" s="8" t="str">
        <f>IFERROR(INDEX('HR Roster'!$C$2:$C$17,MATCH($B23,'HR Roster'!$A$2:$A$17,0)),"NOT IN HR ROSTER")</f>
        <v>HR</v>
      </c>
      <c r="E23" s="8" t="str">
        <f>IFERROR(INDEX('HR Roster'!$F$2:$F$17,MATCH($B23,'HR Roster'!$A$2:$A$17,0)),"NOT IN HR ROSTER")</f>
        <v>Active</v>
      </c>
      <c r="F23" s="6" t="s">
        <v>102</v>
      </c>
      <c r="G23" s="6" t="s">
        <v>103</v>
      </c>
      <c r="H23" s="6" t="s">
        <v>104</v>
      </c>
      <c r="I23" s="7">
        <v>45005</v>
      </c>
      <c r="J23" s="6" t="s">
        <v>68</v>
      </c>
      <c r="K23" s="7">
        <v>46311</v>
      </c>
      <c r="L23" s="9">
        <f>README!$B$4-K23</f>
        <v>2</v>
      </c>
      <c r="M23" s="10" t="s">
        <v>181</v>
      </c>
      <c r="N23" s="10" t="s">
        <v>190</v>
      </c>
    </row>
    <row r="24" spans="1:14" ht="25.5" x14ac:dyDescent="0.25">
      <c r="A24" s="6" t="s">
        <v>141</v>
      </c>
      <c r="B24" s="6" t="s">
        <v>64</v>
      </c>
      <c r="C24" s="8" t="str">
        <f>IFERROR(INDEX('HR Roster'!$B$2:$B$17,MATCH($B24,'HR Roster'!$A$2:$A$17,0)),"NOT IN HR ROSTER")</f>
        <v>Rosa Alvarez</v>
      </c>
      <c r="D24" s="8" t="str">
        <f>IFERROR(INDEX('HR Roster'!$C$2:$C$17,MATCH($B24,'HR Roster'!$A$2:$A$17,0)),"NOT IN HR ROSTER")</f>
        <v>HR</v>
      </c>
      <c r="E24" s="8" t="str">
        <f>IFERROR(INDEX('HR Roster'!$F$2:$F$17,MATCH($B24,'HR Roster'!$A$2:$A$17,0)),"NOT IN HR ROSTER")</f>
        <v>Active</v>
      </c>
      <c r="F24" s="6" t="s">
        <v>142</v>
      </c>
      <c r="G24" s="6" t="s">
        <v>143</v>
      </c>
      <c r="H24" s="6" t="s">
        <v>104</v>
      </c>
      <c r="I24" s="7">
        <v>45005</v>
      </c>
      <c r="J24" s="6" t="s">
        <v>68</v>
      </c>
      <c r="K24" s="7">
        <v>46310</v>
      </c>
      <c r="L24" s="9">
        <f>README!$B$4-K24</f>
        <v>3</v>
      </c>
      <c r="M24" s="10" t="s">
        <v>181</v>
      </c>
      <c r="N24" s="10" t="s">
        <v>190</v>
      </c>
    </row>
    <row r="25" spans="1:14" ht="25.5" x14ac:dyDescent="0.25">
      <c r="A25" s="6" t="s">
        <v>144</v>
      </c>
      <c r="B25" s="6" t="s">
        <v>69</v>
      </c>
      <c r="C25" s="8" t="str">
        <f>IFERROR(INDEX('HR Roster'!$B$2:$B$17,MATCH($B25,'HR Roster'!$A$2:$A$17,0)),"NOT IN HR ROSTER")</f>
        <v>Ken Doyle</v>
      </c>
      <c r="D25" s="8" t="str">
        <f>IFERROR(INDEX('HR Roster'!$C$2:$C$17,MATCH($B25,'HR Roster'!$A$2:$A$17,0)),"NOT IN HR ROSTER")</f>
        <v>HR</v>
      </c>
      <c r="E25" s="8" t="str">
        <f>IFERROR(INDEX('HR Roster'!$F$2:$F$17,MATCH($B25,'HR Roster'!$A$2:$A$17,0)),"NOT IN HR ROSTER")</f>
        <v>Active</v>
      </c>
      <c r="F25" s="6" t="s">
        <v>102</v>
      </c>
      <c r="G25" s="6" t="s">
        <v>103</v>
      </c>
      <c r="H25" s="6" t="s">
        <v>104</v>
      </c>
      <c r="I25" s="7">
        <v>43773</v>
      </c>
      <c r="J25" s="6" t="s">
        <v>28</v>
      </c>
      <c r="K25" s="7">
        <v>46311</v>
      </c>
      <c r="L25" s="9">
        <f>README!$B$4-K25</f>
        <v>2</v>
      </c>
      <c r="M25" s="10" t="s">
        <v>181</v>
      </c>
      <c r="N25" s="10" t="s">
        <v>190</v>
      </c>
    </row>
    <row r="26" spans="1:14" ht="25.5" x14ac:dyDescent="0.25">
      <c r="A26" s="6" t="s">
        <v>145</v>
      </c>
      <c r="B26" s="6" t="s">
        <v>69</v>
      </c>
      <c r="C26" s="8" t="str">
        <f>IFERROR(INDEX('HR Roster'!$B$2:$B$17,MATCH($B26,'HR Roster'!$A$2:$A$17,0)),"NOT IN HR ROSTER")</f>
        <v>Ken Doyle</v>
      </c>
      <c r="D26" s="8" t="str">
        <f>IFERROR(INDEX('HR Roster'!$C$2:$C$17,MATCH($B26,'HR Roster'!$A$2:$A$17,0)),"NOT IN HR ROSTER")</f>
        <v>HR</v>
      </c>
      <c r="E26" s="8" t="str">
        <f>IFERROR(INDEX('HR Roster'!$F$2:$F$17,MATCH($B26,'HR Roster'!$A$2:$A$17,0)),"NOT IN HR ROSTER")</f>
        <v>Active</v>
      </c>
      <c r="F26" s="6" t="s">
        <v>142</v>
      </c>
      <c r="G26" s="6" t="s">
        <v>146</v>
      </c>
      <c r="H26" s="6" t="s">
        <v>108</v>
      </c>
      <c r="I26" s="7">
        <v>44662</v>
      </c>
      <c r="J26" s="6" t="s">
        <v>68</v>
      </c>
      <c r="K26" s="7">
        <v>46311</v>
      </c>
      <c r="L26" s="9">
        <f>README!$B$4-K26</f>
        <v>2</v>
      </c>
      <c r="M26" s="10" t="s">
        <v>183</v>
      </c>
      <c r="N26" s="10" t="s">
        <v>193</v>
      </c>
    </row>
    <row r="27" spans="1:14" ht="25.5" x14ac:dyDescent="0.25">
      <c r="A27" s="6" t="s">
        <v>147</v>
      </c>
      <c r="B27" s="6" t="s">
        <v>71</v>
      </c>
      <c r="C27" s="8" t="str">
        <f>IFERROR(INDEX('HR Roster'!$B$2:$B$17,MATCH($B27,'HR Roster'!$A$2:$A$17,0)),"NOT IN HR ROSTER")</f>
        <v>Victor Shaw</v>
      </c>
      <c r="D27" s="8" t="str">
        <f>IFERROR(INDEX('HR Roster'!$C$2:$C$17,MATCH($B27,'HR Roster'!$A$2:$A$17,0)),"NOT IN HR ROSTER")</f>
        <v>Operations</v>
      </c>
      <c r="E27" s="8" t="str">
        <f>IFERROR(INDEX('HR Roster'!$F$2:$F$17,MATCH($B27,'HR Roster'!$A$2:$A$17,0)),"NOT IN HR ROSTER")</f>
        <v>Active</v>
      </c>
      <c r="F27" s="6" t="s">
        <v>102</v>
      </c>
      <c r="G27" s="6" t="s">
        <v>103</v>
      </c>
      <c r="H27" s="6" t="s">
        <v>104</v>
      </c>
      <c r="I27" s="7">
        <v>44333</v>
      </c>
      <c r="J27" s="6" t="s">
        <v>75</v>
      </c>
      <c r="K27" s="7">
        <v>46309</v>
      </c>
      <c r="L27" s="9">
        <f>README!$B$4-K27</f>
        <v>4</v>
      </c>
      <c r="M27" s="10" t="s">
        <v>181</v>
      </c>
      <c r="N27" s="10" t="s">
        <v>190</v>
      </c>
    </row>
    <row r="28" spans="1:14" ht="25.5" x14ac:dyDescent="0.25">
      <c r="A28" s="6" t="s">
        <v>148</v>
      </c>
      <c r="B28" s="6" t="s">
        <v>71</v>
      </c>
      <c r="C28" s="8" t="str">
        <f>IFERROR(INDEX('HR Roster'!$B$2:$B$17,MATCH($B28,'HR Roster'!$A$2:$A$17,0)),"NOT IN HR ROSTER")</f>
        <v>Victor Shaw</v>
      </c>
      <c r="D28" s="8" t="str">
        <f>IFERROR(INDEX('HR Roster'!$C$2:$C$17,MATCH($B28,'HR Roster'!$A$2:$A$17,0)),"NOT IN HR ROSTER")</f>
        <v>Operations</v>
      </c>
      <c r="E28" s="8" t="str">
        <f>IFERROR(INDEX('HR Roster'!$F$2:$F$17,MATCH($B28,'HR Roster'!$A$2:$A$17,0)),"NOT IN HR ROSTER")</f>
        <v>Active</v>
      </c>
      <c r="F28" s="6" t="s">
        <v>149</v>
      </c>
      <c r="G28" s="6" t="s">
        <v>150</v>
      </c>
      <c r="H28" s="6" t="s">
        <v>108</v>
      </c>
      <c r="I28" s="7">
        <v>44866</v>
      </c>
      <c r="J28" s="6" t="s">
        <v>75</v>
      </c>
      <c r="K28" s="7">
        <v>46063</v>
      </c>
      <c r="L28" s="9">
        <f>README!$B$4-K28</f>
        <v>250</v>
      </c>
      <c r="M28" s="10" t="s">
        <v>182</v>
      </c>
      <c r="N28" s="10" t="s">
        <v>239</v>
      </c>
    </row>
    <row r="29" spans="1:14" ht="25.5" x14ac:dyDescent="0.25">
      <c r="A29" s="6" t="s">
        <v>151</v>
      </c>
      <c r="B29" s="6" t="s">
        <v>76</v>
      </c>
      <c r="C29" s="8" t="str">
        <f>IFERROR(INDEX('HR Roster'!$B$2:$B$17,MATCH($B29,'HR Roster'!$A$2:$A$17,0)),"NOT IN HR ROSTER")</f>
        <v>Lena Park</v>
      </c>
      <c r="D29" s="8" t="str">
        <f>IFERROR(INDEX('HR Roster'!$C$2:$C$17,MATCH($B29,'HR Roster'!$A$2:$A$17,0)),"NOT IN HR ROSTER")</f>
        <v>Operations</v>
      </c>
      <c r="E29" s="8" t="str">
        <f>IFERROR(INDEX('HR Roster'!$F$2:$F$17,MATCH($B29,'HR Roster'!$A$2:$A$17,0)),"NOT IN HR ROSTER")</f>
        <v>Active</v>
      </c>
      <c r="F29" s="6" t="s">
        <v>102</v>
      </c>
      <c r="G29" s="6" t="s">
        <v>103</v>
      </c>
      <c r="H29" s="6" t="s">
        <v>104</v>
      </c>
      <c r="I29" s="7">
        <v>43843</v>
      </c>
      <c r="J29" s="6" t="s">
        <v>28</v>
      </c>
      <c r="K29" s="7">
        <v>46311</v>
      </c>
      <c r="L29" s="9">
        <f>README!$B$4-K29</f>
        <v>2</v>
      </c>
      <c r="M29" s="10" t="s">
        <v>181</v>
      </c>
      <c r="N29" s="10" t="s">
        <v>190</v>
      </c>
    </row>
    <row r="30" spans="1:14" ht="25.5" x14ac:dyDescent="0.25">
      <c r="A30" s="6" t="s">
        <v>152</v>
      </c>
      <c r="B30" s="6" t="s">
        <v>76</v>
      </c>
      <c r="C30" s="8" t="str">
        <f>IFERROR(INDEX('HR Roster'!$B$2:$B$17,MATCH($B30,'HR Roster'!$A$2:$A$17,0)),"NOT IN HR ROSTER")</f>
        <v>Lena Park</v>
      </c>
      <c r="D30" s="8" t="str">
        <f>IFERROR(INDEX('HR Roster'!$C$2:$C$17,MATCH($B30,'HR Roster'!$A$2:$A$17,0)),"NOT IN HR ROSTER")</f>
        <v>Operations</v>
      </c>
      <c r="E30" s="8" t="str">
        <f>IFERROR(INDEX('HR Roster'!$F$2:$F$17,MATCH($B30,'HR Roster'!$A$2:$A$17,0)),"NOT IN HR ROSTER")</f>
        <v>Active</v>
      </c>
      <c r="F30" s="6" t="s">
        <v>149</v>
      </c>
      <c r="G30" s="6" t="s">
        <v>153</v>
      </c>
      <c r="H30" s="6" t="s">
        <v>104</v>
      </c>
      <c r="I30" s="7">
        <v>43843</v>
      </c>
      <c r="J30" s="6" t="s">
        <v>28</v>
      </c>
      <c r="K30" s="7">
        <v>46308</v>
      </c>
      <c r="L30" s="9">
        <f>README!$B$4-K30</f>
        <v>5</v>
      </c>
      <c r="M30" s="10" t="s">
        <v>181</v>
      </c>
      <c r="N30" s="10" t="s">
        <v>190</v>
      </c>
    </row>
    <row r="31" spans="1:14" ht="25.5" x14ac:dyDescent="0.25">
      <c r="A31" s="6" t="s">
        <v>154</v>
      </c>
      <c r="B31" s="6" t="s">
        <v>78</v>
      </c>
      <c r="C31" s="8" t="str">
        <f>IFERROR(INDEX('HR Roster'!$B$2:$B$17,MATCH($B31,'HR Roster'!$A$2:$A$17,0)),"NOT IN HR ROSTER")</f>
        <v>Nina Patel</v>
      </c>
      <c r="D31" s="8" t="str">
        <f>IFERROR(INDEX('HR Roster'!$C$2:$C$17,MATCH($B31,'HR Roster'!$A$2:$A$17,0)),"NOT IN HR ROSTER")</f>
        <v>Sales</v>
      </c>
      <c r="E31" s="8" t="str">
        <f>IFERROR(INDEX('HR Roster'!$F$2:$F$17,MATCH($B31,'HR Roster'!$A$2:$A$17,0)),"NOT IN HR ROSTER")</f>
        <v>On Leave</v>
      </c>
      <c r="F31" s="6" t="s">
        <v>102</v>
      </c>
      <c r="G31" s="6" t="s">
        <v>103</v>
      </c>
      <c r="H31" s="6" t="s">
        <v>104</v>
      </c>
      <c r="I31" s="7">
        <v>44599</v>
      </c>
      <c r="J31" s="6" t="s">
        <v>55</v>
      </c>
      <c r="K31" s="7">
        <v>46262</v>
      </c>
      <c r="L31" s="9">
        <f>README!$B$4-K31</f>
        <v>51</v>
      </c>
      <c r="M31" s="10" t="s">
        <v>181</v>
      </c>
      <c r="N31" s="10" t="s">
        <v>240</v>
      </c>
    </row>
    <row r="32" spans="1:14" ht="25.5" x14ac:dyDescent="0.25">
      <c r="A32" s="6" t="s">
        <v>155</v>
      </c>
      <c r="B32" s="6" t="s">
        <v>78</v>
      </c>
      <c r="C32" s="8" t="str">
        <f>IFERROR(INDEX('HR Roster'!$B$2:$B$17,MATCH($B32,'HR Roster'!$A$2:$A$17,0)),"NOT IN HR ROSTER")</f>
        <v>Nina Patel</v>
      </c>
      <c r="D32" s="8" t="str">
        <f>IFERROR(INDEX('HR Roster'!$C$2:$C$17,MATCH($B32,'HR Roster'!$A$2:$A$17,0)),"NOT IN HR ROSTER")</f>
        <v>Sales</v>
      </c>
      <c r="E32" s="8" t="str">
        <f>IFERROR(INDEX('HR Roster'!$F$2:$F$17,MATCH($B32,'HR Roster'!$A$2:$A$17,0)),"NOT IN HR ROSTER")</f>
        <v>On Leave</v>
      </c>
      <c r="F32" s="6" t="s">
        <v>134</v>
      </c>
      <c r="G32" s="6" t="s">
        <v>80</v>
      </c>
      <c r="H32" s="6" t="s">
        <v>104</v>
      </c>
      <c r="I32" s="7">
        <v>44599</v>
      </c>
      <c r="J32" s="6" t="s">
        <v>55</v>
      </c>
      <c r="K32" s="7">
        <v>46262</v>
      </c>
      <c r="L32" s="9">
        <f>README!$B$4-K32</f>
        <v>51</v>
      </c>
      <c r="M32" s="10" t="s">
        <v>181</v>
      </c>
      <c r="N32" s="10" t="s">
        <v>240</v>
      </c>
    </row>
    <row r="33" spans="1:14" x14ac:dyDescent="0.25">
      <c r="A33" s="6" t="s">
        <v>156</v>
      </c>
      <c r="B33" s="6" t="s">
        <v>83</v>
      </c>
      <c r="C33" s="8" t="str">
        <f>IFERROR(INDEX('HR Roster'!$B$2:$B$17,MATCH($B33,'HR Roster'!$A$2:$A$17,0)),"NOT IN HR ROSTER")</f>
        <v>Owen Brooks</v>
      </c>
      <c r="D33" s="8" t="str">
        <f>IFERROR(INDEX('HR Roster'!$C$2:$C$17,MATCH($B33,'HR Roster'!$A$2:$A$17,0)),"NOT IN HR ROSTER")</f>
        <v>Finance</v>
      </c>
      <c r="E33" s="8" t="str">
        <f>IFERROR(INDEX('HR Roster'!$F$2:$F$17,MATCH($B33,'HR Roster'!$A$2:$A$17,0)),"NOT IN HR ROSTER")</f>
        <v>Contract Ended</v>
      </c>
      <c r="F33" s="6" t="s">
        <v>102</v>
      </c>
      <c r="G33" s="6" t="s">
        <v>103</v>
      </c>
      <c r="H33" s="6" t="s">
        <v>104</v>
      </c>
      <c r="I33" s="7">
        <v>45566</v>
      </c>
      <c r="J33" s="6" t="s">
        <v>25</v>
      </c>
      <c r="K33" s="7">
        <v>46295</v>
      </c>
      <c r="L33" s="9">
        <f>README!$B$4-K33</f>
        <v>18</v>
      </c>
      <c r="M33" s="10" t="s">
        <v>182</v>
      </c>
      <c r="N33" s="10" t="s">
        <v>194</v>
      </c>
    </row>
    <row r="34" spans="1:14" x14ac:dyDescent="0.25">
      <c r="A34" s="6" t="s">
        <v>157</v>
      </c>
      <c r="B34" s="6" t="s">
        <v>83</v>
      </c>
      <c r="C34" s="8" t="str">
        <f>IFERROR(INDEX('HR Roster'!$B$2:$B$17,MATCH($B34,'HR Roster'!$A$2:$A$17,0)),"NOT IN HR ROSTER")</f>
        <v>Owen Brooks</v>
      </c>
      <c r="D34" s="8" t="str">
        <f>IFERROR(INDEX('HR Roster'!$C$2:$C$17,MATCH($B34,'HR Roster'!$A$2:$A$17,0)),"NOT IN HR ROSTER")</f>
        <v>Finance</v>
      </c>
      <c r="E34" s="8" t="str">
        <f>IFERROR(INDEX('HR Roster'!$F$2:$F$17,MATCH($B34,'HR Roster'!$A$2:$A$17,0)),"NOT IN HR ROSTER")</f>
        <v>Contract Ended</v>
      </c>
      <c r="F34" s="6" t="s">
        <v>126</v>
      </c>
      <c r="G34" s="6" t="s">
        <v>127</v>
      </c>
      <c r="H34" s="6" t="s">
        <v>104</v>
      </c>
      <c r="I34" s="7">
        <v>45566</v>
      </c>
      <c r="J34" s="6" t="s">
        <v>25</v>
      </c>
      <c r="K34" s="7">
        <v>46294</v>
      </c>
      <c r="L34" s="9">
        <f>README!$B$4-K34</f>
        <v>19</v>
      </c>
      <c r="M34" s="10" t="s">
        <v>182</v>
      </c>
      <c r="N34" s="10" t="s">
        <v>194</v>
      </c>
    </row>
    <row r="35" spans="1:14" x14ac:dyDescent="0.25">
      <c r="A35" s="6" t="s">
        <v>158</v>
      </c>
      <c r="B35" s="6" t="s">
        <v>83</v>
      </c>
      <c r="C35" s="8" t="str">
        <f>IFERROR(INDEX('HR Roster'!$B$2:$B$17,MATCH($B35,'HR Roster'!$A$2:$A$17,0)),"NOT IN HR ROSTER")</f>
        <v>Owen Brooks</v>
      </c>
      <c r="D35" s="8" t="str">
        <f>IFERROR(INDEX('HR Roster'!$C$2:$C$17,MATCH($B35,'HR Roster'!$A$2:$A$17,0)),"NOT IN HR ROSTER")</f>
        <v>Finance</v>
      </c>
      <c r="E35" s="8" t="str">
        <f>IFERROR(INDEX('HR Roster'!$F$2:$F$17,MATCH($B35,'HR Roster'!$A$2:$A$17,0)),"NOT IN HR ROSTER")</f>
        <v>Contract Ended</v>
      </c>
      <c r="F35" s="6" t="s">
        <v>106</v>
      </c>
      <c r="G35" s="6" t="s">
        <v>111</v>
      </c>
      <c r="H35" s="6" t="s">
        <v>104</v>
      </c>
      <c r="I35" s="7">
        <v>45566</v>
      </c>
      <c r="J35" s="6" t="s">
        <v>25</v>
      </c>
      <c r="K35" s="7">
        <v>46295</v>
      </c>
      <c r="L35" s="9">
        <f>README!$B$4-K35</f>
        <v>18</v>
      </c>
      <c r="M35" s="10" t="s">
        <v>182</v>
      </c>
      <c r="N35" s="10" t="s">
        <v>194</v>
      </c>
    </row>
    <row r="36" spans="1:14" ht="25.5" x14ac:dyDescent="0.25">
      <c r="A36" s="6" t="s">
        <v>159</v>
      </c>
      <c r="B36" s="6" t="s">
        <v>160</v>
      </c>
      <c r="C36" s="8" t="str">
        <f>IFERROR(INDEX('HR Roster'!$B$2:$B$17,MATCH($B36,'HR Roster'!$A$2:$A$17,0)),"NOT IN HR ROSTER")</f>
        <v>NOT IN HR ROSTER</v>
      </c>
      <c r="D36" s="8" t="str">
        <f>IFERROR(INDEX('HR Roster'!$C$2:$C$17,MATCH($B36,'HR Roster'!$A$2:$A$17,0)),"NOT IN HR ROSTER")</f>
        <v>NOT IN HR ROSTER</v>
      </c>
      <c r="E36" s="8" t="str">
        <f>IFERROR(INDEX('HR Roster'!$F$2:$F$17,MATCH($B36,'HR Roster'!$A$2:$A$17,0)),"NOT IN HR ROSTER")</f>
        <v>NOT IN HR ROSTER</v>
      </c>
      <c r="F36" s="6" t="s">
        <v>120</v>
      </c>
      <c r="G36" s="6" t="s">
        <v>161</v>
      </c>
      <c r="H36" s="6" t="s">
        <v>108</v>
      </c>
      <c r="I36" s="7">
        <v>43480</v>
      </c>
      <c r="J36" s="6"/>
      <c r="K36" s="7">
        <v>46312</v>
      </c>
      <c r="L36" s="9">
        <f>README!$B$4-K36</f>
        <v>1</v>
      </c>
      <c r="M36" s="10" t="s">
        <v>182</v>
      </c>
      <c r="N36" s="10" t="s">
        <v>203</v>
      </c>
    </row>
  </sheetData>
  <autoFilter ref="A1:N36" xr:uid="{00000000-0009-0000-0000-000002000000}"/>
  <dataValidations count="1">
    <dataValidation type="list" allowBlank="1" errorTitle="Invalid decision" error="Choose Keep, Remove, or Needs Justification" sqref="M2:M36" xr:uid="{00000000-0002-0000-0200-000000000000}">
      <formula1>"Keep,Remove,Needs Justification"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tabSelected="1" zoomScaleNormal="100" workbookViewId="0">
      <pane ySplit="1" topLeftCell="A2" activePane="bottomLeft" state="frozen"/>
      <selection pane="bottomLeft" activeCell="D7" sqref="D7"/>
    </sheetView>
  </sheetViews>
  <sheetFormatPr defaultColWidth="8.7109375" defaultRowHeight="15" x14ac:dyDescent="0.25"/>
  <cols>
    <col min="1" max="1" width="10" customWidth="1"/>
    <col min="2" max="2" width="14" customWidth="1"/>
    <col min="3" max="3" width="26" customWidth="1"/>
    <col min="4" max="4" width="52" customWidth="1"/>
    <col min="5" max="5" width="16" customWidth="1"/>
    <col min="6" max="6" width="44" customWidth="1"/>
    <col min="7" max="7" width="24" customWidth="1"/>
    <col min="8" max="8" width="12" customWidth="1"/>
  </cols>
  <sheetData>
    <row r="1" spans="1:8" ht="25.5" x14ac:dyDescent="0.25">
      <c r="A1" s="5" t="s">
        <v>162</v>
      </c>
      <c r="B1" s="5" t="s">
        <v>163</v>
      </c>
      <c r="C1" s="5" t="s">
        <v>164</v>
      </c>
      <c r="D1" s="5" t="s">
        <v>165</v>
      </c>
      <c r="E1" s="5" t="s">
        <v>166</v>
      </c>
      <c r="F1" s="5" t="s">
        <v>167</v>
      </c>
      <c r="G1" s="5" t="s">
        <v>168</v>
      </c>
      <c r="H1" s="5" t="s">
        <v>169</v>
      </c>
    </row>
    <row r="2" spans="1:8" ht="25.5" x14ac:dyDescent="0.25">
      <c r="A2" s="11" t="s">
        <v>170</v>
      </c>
      <c r="B2" s="11" t="s">
        <v>171</v>
      </c>
      <c r="C2" s="11" t="s">
        <v>172</v>
      </c>
      <c r="D2" s="11" t="s">
        <v>173</v>
      </c>
      <c r="E2" s="11" t="s">
        <v>174</v>
      </c>
      <c r="F2" s="11" t="s">
        <v>175</v>
      </c>
      <c r="G2" s="11" t="s">
        <v>176</v>
      </c>
      <c r="H2" s="11" t="s">
        <v>177</v>
      </c>
    </row>
    <row r="3" spans="1:8" ht="25.5" x14ac:dyDescent="0.25">
      <c r="A3" s="10">
        <v>1</v>
      </c>
      <c r="B3" s="10" t="s">
        <v>195</v>
      </c>
      <c r="C3" s="10" t="s">
        <v>196</v>
      </c>
      <c r="D3" s="10" t="s">
        <v>197</v>
      </c>
      <c r="E3" s="10" t="s">
        <v>174</v>
      </c>
      <c r="F3" s="10" t="s">
        <v>198</v>
      </c>
      <c r="G3" s="10" t="s">
        <v>199</v>
      </c>
      <c r="H3" s="10" t="s">
        <v>177</v>
      </c>
    </row>
    <row r="4" spans="1:8" ht="63.75" x14ac:dyDescent="0.25">
      <c r="A4" s="10">
        <v>2</v>
      </c>
      <c r="B4" s="10" t="s">
        <v>204</v>
      </c>
      <c r="C4" s="10" t="s">
        <v>229</v>
      </c>
      <c r="D4" s="10" t="s">
        <v>241</v>
      </c>
      <c r="E4" s="10" t="s">
        <v>174</v>
      </c>
      <c r="F4" s="10" t="s">
        <v>231</v>
      </c>
      <c r="G4" s="10" t="s">
        <v>25</v>
      </c>
      <c r="H4" s="10" t="s">
        <v>177</v>
      </c>
    </row>
    <row r="5" spans="1:8" ht="51" x14ac:dyDescent="0.25">
      <c r="A5" s="10">
        <v>3</v>
      </c>
      <c r="B5" s="10" t="s">
        <v>205</v>
      </c>
      <c r="C5" s="10" t="s">
        <v>206</v>
      </c>
      <c r="D5" s="10" t="s">
        <v>207</v>
      </c>
      <c r="E5" s="10" t="s">
        <v>174</v>
      </c>
      <c r="F5" s="10" t="s">
        <v>208</v>
      </c>
      <c r="G5" s="10" t="s">
        <v>25</v>
      </c>
      <c r="H5" s="10" t="s">
        <v>177</v>
      </c>
    </row>
    <row r="6" spans="1:8" ht="51" x14ac:dyDescent="0.25">
      <c r="A6" s="10">
        <v>4</v>
      </c>
      <c r="B6" s="10" t="s">
        <v>139</v>
      </c>
      <c r="C6" s="10" t="s">
        <v>209</v>
      </c>
      <c r="D6" s="10" t="s">
        <v>210</v>
      </c>
      <c r="E6" s="10" t="s">
        <v>174</v>
      </c>
      <c r="F6" s="10" t="s">
        <v>211</v>
      </c>
      <c r="G6" s="10" t="s">
        <v>230</v>
      </c>
      <c r="H6" s="10" t="s">
        <v>177</v>
      </c>
    </row>
    <row r="7" spans="1:8" ht="38.25" x14ac:dyDescent="0.25">
      <c r="A7" s="10">
        <v>5</v>
      </c>
      <c r="B7" s="10" t="s">
        <v>145</v>
      </c>
      <c r="C7" s="10" t="s">
        <v>212</v>
      </c>
      <c r="D7" s="10" t="s">
        <v>213</v>
      </c>
      <c r="E7" s="10" t="s">
        <v>174</v>
      </c>
      <c r="F7" s="10" t="s">
        <v>214</v>
      </c>
      <c r="G7" s="10" t="s">
        <v>215</v>
      </c>
      <c r="H7" s="10" t="s">
        <v>177</v>
      </c>
    </row>
    <row r="8" spans="1:8" ht="38.25" x14ac:dyDescent="0.25">
      <c r="A8" s="10">
        <v>6</v>
      </c>
      <c r="B8" s="10" t="s">
        <v>148</v>
      </c>
      <c r="C8" s="10" t="s">
        <v>216</v>
      </c>
      <c r="D8" s="10" t="s">
        <v>217</v>
      </c>
      <c r="E8" s="10" t="s">
        <v>233</v>
      </c>
      <c r="F8" s="10" t="s">
        <v>218</v>
      </c>
      <c r="G8" s="10" t="s">
        <v>219</v>
      </c>
      <c r="H8" s="10" t="s">
        <v>177</v>
      </c>
    </row>
    <row r="9" spans="1:8" ht="63.75" x14ac:dyDescent="0.25">
      <c r="A9" s="10">
        <v>7</v>
      </c>
      <c r="B9" s="10" t="s">
        <v>159</v>
      </c>
      <c r="C9" s="10" t="s">
        <v>220</v>
      </c>
      <c r="D9" s="10" t="s">
        <v>221</v>
      </c>
      <c r="E9" s="10" t="s">
        <v>174</v>
      </c>
      <c r="F9" s="10" t="s">
        <v>222</v>
      </c>
      <c r="G9" s="10" t="s">
        <v>223</v>
      </c>
      <c r="H9" s="10" t="s">
        <v>177</v>
      </c>
    </row>
    <row r="10" spans="1:8" ht="51" x14ac:dyDescent="0.25">
      <c r="A10" s="10">
        <v>8</v>
      </c>
      <c r="B10" s="10" t="s">
        <v>224</v>
      </c>
      <c r="C10" s="10" t="s">
        <v>225</v>
      </c>
      <c r="D10" s="10" t="s">
        <v>226</v>
      </c>
      <c r="E10" s="10" t="s">
        <v>232</v>
      </c>
      <c r="F10" s="10" t="s">
        <v>227</v>
      </c>
      <c r="G10" s="10" t="s">
        <v>228</v>
      </c>
      <c r="H10" s="10" t="s">
        <v>177</v>
      </c>
    </row>
    <row r="11" spans="1:8" ht="38.25" x14ac:dyDescent="0.25">
      <c r="A11" s="10">
        <v>9</v>
      </c>
      <c r="B11" s="10" t="s">
        <v>234</v>
      </c>
      <c r="C11" s="10" t="s">
        <v>235</v>
      </c>
      <c r="D11" s="10" t="s">
        <v>236</v>
      </c>
      <c r="E11" s="10" t="s">
        <v>233</v>
      </c>
      <c r="F11" s="10" t="s">
        <v>237</v>
      </c>
      <c r="G11" s="10" t="s">
        <v>25</v>
      </c>
      <c r="H11" s="10" t="s">
        <v>177</v>
      </c>
    </row>
    <row r="12" spans="1:8" x14ac:dyDescent="0.25">
      <c r="A12" s="10">
        <v>10</v>
      </c>
      <c r="B12" s="10"/>
      <c r="C12" s="10"/>
      <c r="D12" s="10"/>
      <c r="E12" s="10"/>
      <c r="F12" s="10"/>
      <c r="G12" s="10"/>
      <c r="H12" s="10"/>
    </row>
    <row r="13" spans="1:8" x14ac:dyDescent="0.25">
      <c r="A13" s="10">
        <v>11</v>
      </c>
      <c r="B13" s="10"/>
      <c r="C13" s="10"/>
      <c r="D13" s="10"/>
      <c r="E13" s="10"/>
      <c r="F13" s="10"/>
      <c r="G13" s="10"/>
      <c r="H13" s="10"/>
    </row>
    <row r="14" spans="1:8" x14ac:dyDescent="0.25">
      <c r="A14" s="10">
        <v>12</v>
      </c>
      <c r="B14" s="10"/>
      <c r="C14" s="10"/>
      <c r="D14" s="10"/>
      <c r="E14" s="10"/>
      <c r="F14" s="10"/>
      <c r="G14" s="10"/>
      <c r="H14" s="10"/>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zoomScaleNormal="100" workbookViewId="0"/>
  </sheetViews>
  <sheetFormatPr defaultColWidth="8.7109375" defaultRowHeight="15" x14ac:dyDescent="0.25"/>
  <cols>
    <col min="1" max="1" width="26" customWidth="1"/>
    <col min="2" max="5" width="20" customWidth="1"/>
  </cols>
  <sheetData>
    <row r="1" spans="1:5" ht="15.75" x14ac:dyDescent="0.25">
      <c r="A1" s="12" t="s">
        <v>178</v>
      </c>
    </row>
    <row r="3" spans="1:5" x14ac:dyDescent="0.25">
      <c r="A3" s="13" t="s">
        <v>99</v>
      </c>
      <c r="B3" s="13" t="s">
        <v>179</v>
      </c>
      <c r="C3" s="13" t="s">
        <v>180</v>
      </c>
    </row>
    <row r="4" spans="1:5" x14ac:dyDescent="0.25">
      <c r="A4" s="14" t="s">
        <v>181</v>
      </c>
      <c r="B4" s="14">
        <f>COUNTIF('Access List'!$M$2:$M$36,A4)</f>
        <v>21</v>
      </c>
      <c r="C4" s="15">
        <f>IF($B$7=0,0,B4/$B$7)</f>
        <v>0.6</v>
      </c>
    </row>
    <row r="5" spans="1:5" x14ac:dyDescent="0.25">
      <c r="A5" s="14" t="s">
        <v>182</v>
      </c>
      <c r="B5" s="14">
        <f>COUNTIF('Access List'!$M$2:$M$36,A5)</f>
        <v>11</v>
      </c>
      <c r="C5" s="15">
        <f>IF($B$7=0,0,B5/$B$7)</f>
        <v>0.31428571428571428</v>
      </c>
    </row>
    <row r="6" spans="1:5" x14ac:dyDescent="0.25">
      <c r="A6" s="14" t="s">
        <v>183</v>
      </c>
      <c r="B6" s="14">
        <f>COUNTIF('Access List'!$M$2:$M$36,A6)</f>
        <v>3</v>
      </c>
      <c r="C6" s="15">
        <f>IF($B$7=0,0,B6/$B$7)</f>
        <v>8.5714285714285715E-2</v>
      </c>
    </row>
    <row r="7" spans="1:5" x14ac:dyDescent="0.25">
      <c r="A7" s="16" t="s">
        <v>184</v>
      </c>
      <c r="B7" s="16">
        <f>SUM(B4:B6)</f>
        <v>35</v>
      </c>
    </row>
    <row r="8" spans="1:5" x14ac:dyDescent="0.25">
      <c r="A8" s="14" t="s">
        <v>185</v>
      </c>
      <c r="B8" s="14">
        <f>COUNTA('Access List'!$A$2:$A$36)</f>
        <v>35</v>
      </c>
    </row>
    <row r="9" spans="1:5" x14ac:dyDescent="0.25">
      <c r="A9" s="14" t="s">
        <v>186</v>
      </c>
      <c r="B9" s="14">
        <f>B8-B7</f>
        <v>0</v>
      </c>
    </row>
    <row r="11" spans="1:5" x14ac:dyDescent="0.25">
      <c r="A11" s="16" t="s">
        <v>187</v>
      </c>
    </row>
    <row r="12" spans="1:5" x14ac:dyDescent="0.25">
      <c r="A12" s="13" t="s">
        <v>92</v>
      </c>
      <c r="B12" s="13" t="s">
        <v>181</v>
      </c>
      <c r="C12" s="13" t="s">
        <v>182</v>
      </c>
      <c r="D12" s="13" t="s">
        <v>183</v>
      </c>
      <c r="E12" s="13" t="s">
        <v>188</v>
      </c>
    </row>
    <row r="13" spans="1:5" x14ac:dyDescent="0.25">
      <c r="A13" s="14" t="s">
        <v>102</v>
      </c>
      <c r="B13" s="14">
        <f>COUNTIFS('Access List'!$F$2:$F$36,$A13,'Access List'!$M$2:$M$36,"Keep")</f>
        <v>14</v>
      </c>
      <c r="C13" s="14">
        <f>COUNTIFS('Access List'!$F$2:$F$36,$A13,'Access List'!$M$2:$M$36,"Remove")</f>
        <v>2</v>
      </c>
      <c r="D13" s="14">
        <f>COUNTIFS('Access List'!$F$2:$F$36,$A13,'Access List'!$M$2:$M$36,"Needs Justification")</f>
        <v>0</v>
      </c>
      <c r="E13" s="14">
        <f>COUNTIFS('Access List'!$F$2:$F$36,$A13,'Access List'!$H$2:$H$36,"Privileged")</f>
        <v>2</v>
      </c>
    </row>
    <row r="14" spans="1:5" x14ac:dyDescent="0.25">
      <c r="A14" s="14" t="s">
        <v>106</v>
      </c>
      <c r="B14" s="14">
        <f>COUNTIFS('Access List'!$F$2:$F$36,$A14,'Access List'!$M$2:$M$36,"Keep")</f>
        <v>2</v>
      </c>
      <c r="C14" s="14">
        <f>COUNTIFS('Access List'!$F$2:$F$36,$A14,'Access List'!$M$2:$M$36,"Remove")</f>
        <v>2</v>
      </c>
      <c r="D14" s="14">
        <f>COUNTIFS('Access List'!$F$2:$F$36,$A14,'Access List'!$M$2:$M$36,"Needs Justification")</f>
        <v>2</v>
      </c>
      <c r="E14" s="14">
        <f>COUNTIFS('Access List'!$F$2:$F$36,$A14,'Access List'!$H$2:$H$36,"Privileged")</f>
        <v>4</v>
      </c>
    </row>
    <row r="15" spans="1:5" x14ac:dyDescent="0.25">
      <c r="A15" s="14" t="s">
        <v>120</v>
      </c>
      <c r="B15" s="14">
        <f>COUNTIFS('Access List'!$F$2:$F$36,$A15,'Access List'!$M$2:$M$36,"Keep")</f>
        <v>1</v>
      </c>
      <c r="C15" s="14">
        <f>COUNTIFS('Access List'!$F$2:$F$36,$A15,'Access List'!$M$2:$M$36,"Remove")</f>
        <v>2</v>
      </c>
      <c r="D15" s="14">
        <f>COUNTIFS('Access List'!$F$2:$F$36,$A15,'Access List'!$M$2:$M$36,"Needs Justification")</f>
        <v>0</v>
      </c>
      <c r="E15" s="14">
        <f>COUNTIFS('Access List'!$F$2:$F$36,$A15,'Access List'!$H$2:$H$36,"Privileged")</f>
        <v>3</v>
      </c>
    </row>
    <row r="16" spans="1:5" x14ac:dyDescent="0.25">
      <c r="A16" s="14" t="s">
        <v>126</v>
      </c>
      <c r="B16" s="14">
        <f>COUNTIFS('Access List'!$F$2:$F$36,$A16,'Access List'!$M$2:$M$36,"Keep")</f>
        <v>0</v>
      </c>
      <c r="C16" s="14">
        <f>COUNTIFS('Access List'!$F$2:$F$36,$A16,'Access List'!$M$2:$M$36,"Remove")</f>
        <v>2</v>
      </c>
      <c r="D16" s="14">
        <f>COUNTIFS('Access List'!$F$2:$F$36,$A16,'Access List'!$M$2:$M$36,"Needs Justification")</f>
        <v>0</v>
      </c>
      <c r="E16" s="14">
        <f>COUNTIFS('Access List'!$F$2:$F$36,$A16,'Access List'!$H$2:$H$36,"Privileged")</f>
        <v>0</v>
      </c>
    </row>
    <row r="17" spans="1:5" x14ac:dyDescent="0.25">
      <c r="A17" s="14" t="s">
        <v>131</v>
      </c>
      <c r="B17" s="14">
        <f>COUNTIFS('Access List'!$F$2:$F$36,$A17,'Access List'!$M$2:$M$36,"Keep")</f>
        <v>0</v>
      </c>
      <c r="C17" s="14">
        <f>COUNTIFS('Access List'!$F$2:$F$36,$A17,'Access List'!$M$2:$M$36,"Remove")</f>
        <v>1</v>
      </c>
      <c r="D17" s="14">
        <f>COUNTIFS('Access List'!$F$2:$F$36,$A17,'Access List'!$M$2:$M$36,"Needs Justification")</f>
        <v>0</v>
      </c>
      <c r="E17" s="14">
        <f>COUNTIFS('Access List'!$F$2:$F$36,$A17,'Access List'!$H$2:$H$36,"Privileged")</f>
        <v>0</v>
      </c>
    </row>
    <row r="18" spans="1:5" x14ac:dyDescent="0.25">
      <c r="A18" s="14" t="s">
        <v>134</v>
      </c>
      <c r="B18" s="14">
        <f>COUNTIFS('Access List'!$F$2:$F$36,$A18,'Access List'!$M$2:$M$36,"Keep")</f>
        <v>2</v>
      </c>
      <c r="C18" s="14">
        <f>COUNTIFS('Access List'!$F$2:$F$36,$A18,'Access List'!$M$2:$M$36,"Remove")</f>
        <v>1</v>
      </c>
      <c r="D18" s="14">
        <f>COUNTIFS('Access List'!$F$2:$F$36,$A18,'Access List'!$M$2:$M$36,"Needs Justification")</f>
        <v>0</v>
      </c>
      <c r="E18" s="14">
        <f>COUNTIFS('Access List'!$F$2:$F$36,$A18,'Access List'!$H$2:$H$36,"Privileged")</f>
        <v>0</v>
      </c>
    </row>
    <row r="19" spans="1:5" x14ac:dyDescent="0.25">
      <c r="A19" s="14" t="s">
        <v>142</v>
      </c>
      <c r="B19" s="14">
        <f>COUNTIFS('Access List'!$F$2:$F$36,$A19,'Access List'!$M$2:$M$36,"Keep")</f>
        <v>1</v>
      </c>
      <c r="C19" s="14">
        <f>COUNTIFS('Access List'!$F$2:$F$36,$A19,'Access List'!$M$2:$M$36,"Remove")</f>
        <v>0</v>
      </c>
      <c r="D19" s="14">
        <f>COUNTIFS('Access List'!$F$2:$F$36,$A19,'Access List'!$M$2:$M$36,"Needs Justification")</f>
        <v>1</v>
      </c>
      <c r="E19" s="14">
        <f>COUNTIFS('Access List'!$F$2:$F$36,$A19,'Access List'!$H$2:$H$36,"Privileged")</f>
        <v>1</v>
      </c>
    </row>
    <row r="20" spans="1:5" x14ac:dyDescent="0.25">
      <c r="A20" s="14" t="s">
        <v>149</v>
      </c>
      <c r="B20" s="14">
        <f>COUNTIFS('Access List'!$F$2:$F$36,$A20,'Access List'!$M$2:$M$36,"Keep")</f>
        <v>1</v>
      </c>
      <c r="C20" s="14">
        <f>COUNTIFS('Access List'!$F$2:$F$36,$A20,'Access List'!$M$2:$M$36,"Remove")</f>
        <v>1</v>
      </c>
      <c r="D20" s="14">
        <f>COUNTIFS('Access List'!$F$2:$F$36,$A20,'Access List'!$M$2:$M$36,"Needs Justification")</f>
        <v>0</v>
      </c>
      <c r="E20" s="14">
        <f>COUNTIFS('Access List'!$F$2:$F$36,$A20,'Access List'!$H$2:$H$36,"Privileged")</f>
        <v>1</v>
      </c>
    </row>
    <row r="22" spans="1:5" x14ac:dyDescent="0.25">
      <c r="A22" s="17" t="s">
        <v>189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HR Roster</vt:lpstr>
      <vt:lpstr>Access List</vt:lpstr>
      <vt:lpstr>Findings 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Jordan</cp:lastModifiedBy>
  <cp:revision>0</cp:revision>
  <dcterms:created xsi:type="dcterms:W3CDTF">2026-10-18T07:53:08Z</dcterms:created>
  <dcterms:modified xsi:type="dcterms:W3CDTF">2026-10-19T02:26:25Z</dcterms:modified>
  <dc:language>en-US</dc:language>
</cp:coreProperties>
</file>